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Read Me" sheetId="2" state="visible" r:id="rId2"/>
    <sheet xmlns:r="http://schemas.openxmlformats.org/officeDocument/2006/relationships" name="Lead Tracker" sheetId="3" state="visible" r:id="rId3"/>
    <sheet xmlns:r="http://schemas.openxmlformats.org/officeDocument/2006/relationships" name="Status Summary" sheetId="4" state="visible" r:id="rId4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₹#,##0"/>
    <numFmt numFmtId="166" formatCode="dd-mmm-yyyy"/>
  </numFmts>
  <fonts count="5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17365D"/>
    </font>
    <font>
      <b val="1"/>
      <color rgb="00FFFFFF"/>
    </font>
    <font>
      <b val="1"/>
      <color rgb="000F6B78"/>
      <sz val="12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3" fillId="3" borderId="0" pivotButton="0" quotePrefix="0" xfId="0"/>
    <xf numFmtId="0" fontId="2" fillId="0" borderId="1" pivotButton="0" quotePrefix="0" xfId="0"/>
    <xf numFmtId="0" fontId="4" fillId="4" borderId="1" pivotButton="0" quotePrefix="0" xfId="0"/>
    <xf numFmtId="0" fontId="0" fillId="0" borderId="1" applyAlignment="1" pivotButton="0" quotePrefix="0" xfId="0">
      <alignment vertical="center" wrapText="1"/>
    </xf>
    <xf numFmtId="165" fontId="4" fillId="4" borderId="1" pivotButton="0" quotePrefix="0" xfId="0"/>
    <xf numFmtId="9" fontId="4" fillId="4" borderId="1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2" borderId="0" applyAlignment="1" pivotButton="0" quotePrefix="0" xfId="0">
      <alignment wrapText="1"/>
    </xf>
    <xf numFmtId="0" fontId="0" fillId="0" borderId="0" applyAlignment="1" pivotButton="0" quotePrefix="0" xfId="0">
      <alignment vertical="top"/>
    </xf>
    <xf numFmtId="165" fontId="0" fillId="0" borderId="0" applyAlignment="1" pivotButton="0" quotePrefix="0" xfId="0">
      <alignment vertical="top"/>
    </xf>
    <xf numFmtId="166" fontId="0" fillId="0" borderId="0" applyAlignment="1" pivotButton="0" quotePrefix="0" xfId="0">
      <alignment vertical="top"/>
    </xf>
    <xf numFmtId="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4D6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Leads by Status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'Status Summary'!B3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'Status Summary'!$A$4:$A$10</f>
            </numRef>
          </cat>
          <val>
            <numRef>
              <f>'Status Summary'!$B$4:$B$10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Lead 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Status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Lead Distribution by Status</a:t>
            </a:r>
          </a:p>
        </rich>
      </tx>
    </title>
    <plotArea>
      <doughnutChart>
        <varyColors val="1"/>
        <ser>
          <idx val="0"/>
          <order val="0"/>
          <tx>
            <strRef>
              <f>'Status Summary'!B3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'Status Summary'!$A$4:$A$10</f>
            </numRef>
          </cat>
          <val>
            <numRef>
              <f>'Status Summary'!$B$4:$B$10</f>
            </numRef>
          </val>
        </ser>
        <dLbls>
          <showPercent val="1"/>
        </dLbls>
        <firstSliceAng val="0"/>
        <holeSize val="55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2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eadTrackerTable" displayName="LeadTrackerTable" ref="A1:O21" headerRowCount="1">
  <autoFilter ref="A1:O21"/>
  <tableColumns count="15">
    <tableColumn id="1" name="Lead ID"/>
    <tableColumn id="2" name="Contact Name"/>
    <tableColumn id="3" name="Company / Prospect"/>
    <tableColumn id="4" name="Email (Demo)"/>
    <tableColumn id="5" name="Phone (Demo)"/>
    <tableColumn id="6" name="Lead Source"/>
    <tableColumn id="7" name="Need"/>
    <tableColumn id="8" name="Budget (₹)"/>
    <tableColumn id="9" name="Status"/>
    <tableColumn id="10" name="Deal Value (₹)"/>
    <tableColumn id="11" name="Last Contact"/>
    <tableColumn id="12" name="Next Follow-up"/>
    <tableColumn id="13" name="Owner"/>
    <tableColumn id="14" name="Next Action"/>
    <tableColumn id="15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52" customWidth="1" min="3" max="3"/>
  </cols>
  <sheetData>
    <row r="1" ht="30" customHeight="1">
      <c r="A1" s="1" t="inlineStr">
        <is>
          <t>SALES PIPELINE DASHBOARD</t>
        </is>
      </c>
    </row>
    <row r="3">
      <c r="A3" s="2" t="inlineStr">
        <is>
          <t>Metric</t>
        </is>
      </c>
      <c r="B3" s="2" t="inlineStr">
        <is>
          <t>Value</t>
        </is>
      </c>
      <c r="C3" s="2" t="inlineStr">
        <is>
          <t>What it tells you</t>
        </is>
      </c>
    </row>
    <row r="4" ht="30" customHeight="1">
      <c r="A4" s="3" t="inlineStr">
        <is>
          <t>Total leads</t>
        </is>
      </c>
      <c r="B4" s="4">
        <f>COUNTA('Lead Tracker'!$A$2:$A$21)</f>
        <v/>
      </c>
      <c r="C4" s="5" t="inlineStr">
        <is>
          <t>Number of sample leads being tracked.</t>
        </is>
      </c>
    </row>
    <row r="5" ht="30" customHeight="1">
      <c r="A5" s="3" t="inlineStr">
        <is>
          <t>Qualified or later</t>
        </is>
      </c>
      <c r="B5" s="4">
        <f>COUNTIF('Lead Tracker'!$I$2:$I$21,"Qualified")+COUNTIF('Lead Tracker'!$I$2:$I$21,"Meeting Scheduled")+COUNTIF('Lead Tracker'!$I$2:$I$21,"Proposal")+COUNTIF('Lead Tracker'!$I$2:$I$21,"Won")</f>
        <v/>
      </c>
      <c r="C5" s="5" t="inlineStr">
        <is>
          <t>Leads that passed initial qualification.</t>
        </is>
      </c>
    </row>
    <row r="6" ht="30" customHeight="1">
      <c r="A6" s="3" t="inlineStr">
        <is>
          <t>Overdue follow-ups</t>
        </is>
      </c>
      <c r="B6" s="4">
        <f>COUNTIFS('Lead Tracker'!$L$2:$L$21,"&lt;"&amp;TODAY(),'Lead Tracker'!$I$2:$I$21,"&lt;&gt;Won",'Lead Tracker'!$I$2:$I$21,"&lt;&gt;Lost",'Lead Tracker'!$L$2:$L$21,"&lt;&gt;")</f>
        <v/>
      </c>
      <c r="C6" s="5" t="inlineStr">
        <is>
          <t>Open leads whose next follow-up date is before today.</t>
        </is>
      </c>
    </row>
    <row r="7" ht="30" customHeight="1">
      <c r="A7" s="3" t="inlineStr">
        <is>
          <t>Open pipeline value</t>
        </is>
      </c>
      <c r="B7" s="6">
        <f>SUMIFS('Lead Tracker'!$J$2:$J$21,'Lead Tracker'!$I$2:$I$21,"&lt;&gt;Won",'Lead Tracker'!$I$2:$I$21,"&lt;&gt;Lost")</f>
        <v/>
      </c>
      <c r="C7" s="5" t="inlineStr">
        <is>
          <t>Estimated value of deals still in progress.</t>
        </is>
      </c>
    </row>
    <row r="8" ht="30" customHeight="1">
      <c r="A8" s="3" t="inlineStr">
        <is>
          <t>Won deal value</t>
        </is>
      </c>
      <c r="B8" s="6">
        <f>SUMIF('Lead Tracker'!$I$2:$I$21,"Won",'Lead Tracker'!$J$2:$J$21)</f>
        <v/>
      </c>
      <c r="C8" s="5" t="inlineStr">
        <is>
          <t>Estimated value of Won sample records.</t>
        </is>
      </c>
    </row>
    <row r="9" ht="30" customHeight="1">
      <c r="A9" s="3" t="inlineStr">
        <is>
          <t>Lead-to-qualified rate</t>
        </is>
      </c>
      <c r="B9" s="7">
        <f>IFERROR(B5/B4,0)</f>
        <v/>
      </c>
      <c r="C9" s="5" t="inlineStr">
        <is>
          <t>Qualified-or-later leads divided by total leads.</t>
        </is>
      </c>
    </row>
    <row r="12">
      <c r="A12" s="8" t="inlineStr">
        <is>
          <t>Interpretation</t>
        </is>
      </c>
      <c r="B12" s="9" t="inlineStr">
        <is>
          <t>Use overdue follow-ups to prioritise outreach; review status distribution to identify bottlenecks. Values are illustrative.</t>
        </is>
      </c>
    </row>
    <row r="13"/>
    <row r="15">
      <c r="A15" s="8" t="inlineStr">
        <is>
          <t>Data notice</t>
        </is>
      </c>
      <c r="B15" s="9" t="inlineStr">
        <is>
          <t>All records are synthetic; do not present them as real customers, revenue or business outcomes.</t>
        </is>
      </c>
    </row>
    <row r="16"/>
  </sheetData>
  <mergeCells count="3">
    <mergeCell ref="A1:C1"/>
    <mergeCell ref="B15:C16"/>
    <mergeCell ref="B12:C1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05" customWidth="1" min="2" max="2"/>
  </cols>
  <sheetData>
    <row r="1" ht="30" customHeight="1">
      <c r="A1" s="1" t="inlineStr">
        <is>
          <t>SALES PIPELINE &amp; LEAD MANAGEMENT SYSTEM</t>
        </is>
      </c>
    </row>
    <row r="3">
      <c r="A3" s="10" t="inlineStr">
        <is>
          <t>Project type</t>
        </is>
      </c>
      <c r="B3" s="11" t="inlineStr">
        <is>
          <t>Excel-based sales operations / CRM portfolio project</t>
        </is>
      </c>
    </row>
    <row r="4">
      <c r="A4" s="10" t="inlineStr">
        <is>
          <t>Purpose</t>
        </is>
      </c>
      <c r="B4" s="11" t="inlineStr">
        <is>
          <t>Track synthetic leads, follow-ups, deal stages and sales KPIs.</t>
        </is>
      </c>
    </row>
    <row r="5">
      <c r="A5" s="10" t="inlineStr">
        <is>
          <t>Data notice</t>
        </is>
      </c>
      <c r="B5" s="11" t="inlineStr">
        <is>
          <t>All names, contacts, dates, companies and values are fictional demonstration data.</t>
        </is>
      </c>
    </row>
    <row r="6">
      <c r="A6" s="10" t="inlineStr">
        <is>
          <t>How to use</t>
        </is>
      </c>
      <c r="B6" s="11" t="inlineStr">
        <is>
          <t>Update Lead Tracker rows. Dashboard and Status Summary formulas recalculate in Excel.</t>
        </is>
      </c>
    </row>
    <row r="7">
      <c r="A7" s="10" t="inlineStr">
        <is>
          <t>Workflow</t>
        </is>
      </c>
      <c r="B7" s="11" t="inlineStr">
        <is>
          <t>Capture lead → qualify → follow up → progress stage → record outcome.</t>
        </is>
      </c>
    </row>
    <row r="8">
      <c r="A8" s="10" t="inlineStr">
        <is>
          <t>Important</t>
        </is>
      </c>
      <c r="B8" s="11" t="inlineStr">
        <is>
          <t>Excel demo is complete. HubSpot signup/import is intentionally deferred.</t>
        </is>
      </c>
    </row>
    <row r="9">
      <c r="A9" s="10" t="inlineStr">
        <is>
          <t>Resume wording</t>
        </is>
      </c>
      <c r="B9" s="11" t="inlineStr">
        <is>
          <t>Built an Excel-based sales pipeline tracker with lead-stage monitoring, follow-up tracking and KPI dashboard using synthetic data.</t>
        </is>
      </c>
    </row>
    <row r="10">
      <c r="A10" s="10" t="inlineStr"/>
      <c r="B10" s="11" t="inlineStr"/>
    </row>
    <row r="11">
      <c r="A11" s="10" t="inlineStr">
        <is>
          <t>Dashboard KPI</t>
        </is>
      </c>
      <c r="B11" s="11" t="inlineStr">
        <is>
          <t>Definition</t>
        </is>
      </c>
    </row>
    <row r="12">
      <c r="A12" s="10" t="inlineStr">
        <is>
          <t>Total leads</t>
        </is>
      </c>
      <c r="B12" s="11" t="inlineStr">
        <is>
          <t>Count of lead records.</t>
        </is>
      </c>
    </row>
    <row r="13">
      <c r="A13" s="10" t="inlineStr">
        <is>
          <t>Qualified or later</t>
        </is>
      </c>
      <c r="B13" s="11" t="inlineStr">
        <is>
          <t>Qualified, Meeting Scheduled, Proposal or Won stages.</t>
        </is>
      </c>
    </row>
    <row r="14">
      <c r="A14" s="10" t="inlineStr">
        <is>
          <t>Overdue follow-ups</t>
        </is>
      </c>
      <c r="B14" s="11" t="inlineStr">
        <is>
          <t>Open leads with a next follow-up date before today.</t>
        </is>
      </c>
    </row>
    <row r="15">
      <c r="A15" s="10" t="inlineStr">
        <is>
          <t>Open pipeline value</t>
        </is>
      </c>
      <c r="B15" s="11" t="inlineStr">
        <is>
          <t>Deal value excluding Won and Lost records.</t>
        </is>
      </c>
    </row>
    <row r="16">
      <c r="A16" s="10" t="inlineStr">
        <is>
          <t>Won deal value</t>
        </is>
      </c>
      <c r="B16" s="11" t="inlineStr">
        <is>
          <t>Deal value for Won records.</t>
        </is>
      </c>
    </row>
    <row r="17">
      <c r="A17" s="10" t="inlineStr">
        <is>
          <t>Lead-to-qualified rate</t>
        </is>
      </c>
      <c r="B17" s="11" t="inlineStr">
        <is>
          <t>Qualified-or-later leads divided by total leads.</t>
        </is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4" customWidth="1" min="3" max="3"/>
    <col width="32" customWidth="1" min="4" max="4"/>
    <col width="18" customWidth="1" min="5" max="5"/>
    <col width="18" customWidth="1" min="6" max="6"/>
    <col width="22" customWidth="1" min="7" max="7"/>
    <col width="15" customWidth="1" min="8" max="8"/>
    <col width="20" customWidth="1" min="9" max="9"/>
    <col width="17" customWidth="1" min="10" max="10"/>
    <col width="16" customWidth="1" min="11" max="11"/>
    <col width="17" customWidth="1" min="12" max="12"/>
    <col width="17" customWidth="1" min="13" max="13"/>
    <col width="22" customWidth="1" min="14" max="14"/>
    <col width="48" customWidth="1" min="15" max="15"/>
  </cols>
  <sheetData>
    <row r="1" ht="32" customHeight="1">
      <c r="A1" s="12" t="inlineStr">
        <is>
          <t>Lead ID</t>
        </is>
      </c>
      <c r="B1" s="12" t="inlineStr">
        <is>
          <t>Contact Name</t>
        </is>
      </c>
      <c r="C1" s="12" t="inlineStr">
        <is>
          <t>Company / Prospect</t>
        </is>
      </c>
      <c r="D1" s="12" t="inlineStr">
        <is>
          <t>Email (Demo)</t>
        </is>
      </c>
      <c r="E1" s="12" t="inlineStr">
        <is>
          <t>Phone (Demo)</t>
        </is>
      </c>
      <c r="F1" s="12" t="inlineStr">
        <is>
          <t>Lead Source</t>
        </is>
      </c>
      <c r="G1" s="12" t="inlineStr">
        <is>
          <t>Need</t>
        </is>
      </c>
      <c r="H1" s="12" t="inlineStr">
        <is>
          <t>Budget (₹)</t>
        </is>
      </c>
      <c r="I1" s="12" t="inlineStr">
        <is>
          <t>Status</t>
        </is>
      </c>
      <c r="J1" s="12" t="inlineStr">
        <is>
          <t>Deal Value (₹)</t>
        </is>
      </c>
      <c r="K1" s="12" t="inlineStr">
        <is>
          <t>Last Contact</t>
        </is>
      </c>
      <c r="L1" s="12" t="inlineStr">
        <is>
          <t>Next Follow-up</t>
        </is>
      </c>
      <c r="M1" s="12" t="inlineStr">
        <is>
          <t>Owner</t>
        </is>
      </c>
      <c r="N1" s="12" t="inlineStr">
        <is>
          <t>Next Action</t>
        </is>
      </c>
      <c r="O1" s="12" t="inlineStr">
        <is>
          <t>Notes</t>
        </is>
      </c>
    </row>
    <row r="2">
      <c r="A2" s="13" t="inlineStr">
        <is>
          <t>L001</t>
        </is>
      </c>
      <c r="B2" s="13" t="inlineStr">
        <is>
          <t>Demo Contact 01</t>
        </is>
      </c>
      <c r="C2" s="9" t="inlineStr">
        <is>
          <t>Aster Learning</t>
        </is>
      </c>
      <c r="D2" s="9" t="inlineStr">
        <is>
          <t>demo.contact01@example.com</t>
        </is>
      </c>
      <c r="E2" s="13" t="inlineStr">
        <is>
          <t>+91-9000000001</t>
        </is>
      </c>
      <c r="F2" s="13" t="inlineStr">
        <is>
          <t>Referral</t>
        </is>
      </c>
      <c r="G2" s="9" t="inlineStr">
        <is>
          <t>Product enquiry</t>
        </is>
      </c>
      <c r="H2" s="14" t="n">
        <v>5000</v>
      </c>
      <c r="I2" s="13" t="inlineStr">
        <is>
          <t>New</t>
        </is>
      </c>
      <c r="J2" s="14" t="n">
        <v>8000</v>
      </c>
      <c r="K2" s="15" t="n">
        <v>46266</v>
      </c>
      <c r="L2" s="15" t="n">
        <v>46265</v>
      </c>
      <c r="M2" s="13" t="inlineStr">
        <is>
          <t>Sales Rep 1</t>
        </is>
      </c>
      <c r="N2" s="9" t="inlineStr">
        <is>
          <t>Call to qualify</t>
        </is>
      </c>
      <c r="O2" s="9" t="inlineStr">
        <is>
          <t>Synthetic sample record — not a real prospect.</t>
        </is>
      </c>
    </row>
    <row r="3">
      <c r="A3" s="13" t="inlineStr">
        <is>
          <t>L002</t>
        </is>
      </c>
      <c r="B3" s="13" t="inlineStr">
        <is>
          <t>Demo Contact 02</t>
        </is>
      </c>
      <c r="C3" s="9" t="inlineStr">
        <is>
          <t>Northstar Retail</t>
        </is>
      </c>
      <c r="D3" s="9" t="inlineStr">
        <is>
          <t>demo.contact02@example.com</t>
        </is>
      </c>
      <c r="E3" s="13" t="inlineStr">
        <is>
          <t>+91-9000000002</t>
        </is>
      </c>
      <c r="F3" s="13" t="inlineStr">
        <is>
          <t>Website</t>
        </is>
      </c>
      <c r="G3" s="9" t="inlineStr">
        <is>
          <t>Service comparison</t>
        </is>
      </c>
      <c r="H3" s="14" t="n">
        <v>7500</v>
      </c>
      <c r="I3" s="13" t="inlineStr">
        <is>
          <t>Contacted</t>
        </is>
      </c>
      <c r="J3" s="14" t="n">
        <v>11500</v>
      </c>
      <c r="K3" s="15" t="n">
        <v>46267</v>
      </c>
      <c r="L3" s="15" t="n">
        <v>46267</v>
      </c>
      <c r="M3" s="13" t="inlineStr">
        <is>
          <t>Sales Rep 1</t>
        </is>
      </c>
      <c r="N3" s="9" t="inlineStr">
        <is>
          <t>Send details</t>
        </is>
      </c>
      <c r="O3" s="9" t="inlineStr">
        <is>
          <t>Synthetic sample record — not a real prospect.</t>
        </is>
      </c>
    </row>
    <row r="4">
      <c r="A4" s="13" t="inlineStr">
        <is>
          <t>L003</t>
        </is>
      </c>
      <c r="B4" s="13" t="inlineStr">
        <is>
          <t>Demo Contact 03</t>
        </is>
      </c>
      <c r="C4" s="9" t="inlineStr">
        <is>
          <t>BrightPath Services</t>
        </is>
      </c>
      <c r="D4" s="9" t="inlineStr">
        <is>
          <t>demo.contact03@example.com</t>
        </is>
      </c>
      <c r="E4" s="13" t="inlineStr">
        <is>
          <t>+91-9000000003</t>
        </is>
      </c>
      <c r="F4" s="13" t="inlineStr">
        <is>
          <t>Walk-in</t>
        </is>
      </c>
      <c r="G4" s="9" t="inlineStr">
        <is>
          <t>Bulk purchase</t>
        </is>
      </c>
      <c r="H4" s="14" t="n">
        <v>10000</v>
      </c>
      <c r="I4" s="13" t="inlineStr">
        <is>
          <t>Qualified</t>
        </is>
      </c>
      <c r="J4" s="14" t="n">
        <v>15000</v>
      </c>
      <c r="K4" s="15" t="n">
        <v>46268</v>
      </c>
      <c r="L4" s="15" t="n">
        <v>46269</v>
      </c>
      <c r="M4" s="13" t="inlineStr">
        <is>
          <t>Sales Rep 1</t>
        </is>
      </c>
      <c r="N4" s="9" t="inlineStr">
        <is>
          <t>Schedule meeting</t>
        </is>
      </c>
      <c r="O4" s="9" t="inlineStr">
        <is>
          <t>Synthetic sample record — not a real prospect.</t>
        </is>
      </c>
    </row>
    <row r="5">
      <c r="A5" s="13" t="inlineStr">
        <is>
          <t>L004</t>
        </is>
      </c>
      <c r="B5" s="13" t="inlineStr">
        <is>
          <t>Demo Contact 04</t>
        </is>
      </c>
      <c r="C5" s="9" t="inlineStr">
        <is>
          <t>Cedar Office Supply</t>
        </is>
      </c>
      <c r="D5" s="9" t="inlineStr">
        <is>
          <t>demo.contact04@example.com</t>
        </is>
      </c>
      <c r="E5" s="13" t="inlineStr">
        <is>
          <t>+91-9000000004</t>
        </is>
      </c>
      <c r="F5" s="13" t="inlineStr">
        <is>
          <t>Phone enquiry</t>
        </is>
      </c>
      <c r="G5" s="9" t="inlineStr">
        <is>
          <t>Training enquiry</t>
        </is>
      </c>
      <c r="H5" s="14" t="n">
        <v>12500</v>
      </c>
      <c r="I5" s="13" t="inlineStr">
        <is>
          <t>Meeting Scheduled</t>
        </is>
      </c>
      <c r="J5" s="14" t="n">
        <v>18500</v>
      </c>
      <c r="K5" s="15" t="n">
        <v>46269</v>
      </c>
      <c r="L5" s="15" t="n">
        <v>46271</v>
      </c>
      <c r="M5" s="13" t="inlineStr">
        <is>
          <t>Sales Rep 1</t>
        </is>
      </c>
      <c r="N5" s="9" t="inlineStr">
        <is>
          <t>Share quotation</t>
        </is>
      </c>
      <c r="O5" s="9" t="inlineStr">
        <is>
          <t>Synthetic sample record — not a real prospect.</t>
        </is>
      </c>
    </row>
    <row r="6">
      <c r="A6" s="13" t="inlineStr">
        <is>
          <t>L005</t>
        </is>
      </c>
      <c r="B6" s="13" t="inlineStr">
        <is>
          <t>Demo Contact 05</t>
        </is>
      </c>
      <c r="C6" s="9" t="inlineStr">
        <is>
          <t>BluePeak Academy</t>
        </is>
      </c>
      <c r="D6" s="9" t="inlineStr">
        <is>
          <t>demo.contact05@example.com</t>
        </is>
      </c>
      <c r="E6" s="13" t="inlineStr">
        <is>
          <t>+91-9000000005</t>
        </is>
      </c>
      <c r="F6" s="13" t="inlineStr">
        <is>
          <t>Email</t>
        </is>
      </c>
      <c r="G6" s="9" t="inlineStr">
        <is>
          <t>Order follow-up</t>
        </is>
      </c>
      <c r="H6" s="14" t="n">
        <v>15000</v>
      </c>
      <c r="I6" s="13" t="inlineStr">
        <is>
          <t>Proposal</t>
        </is>
      </c>
      <c r="J6" s="14" t="n">
        <v>22000</v>
      </c>
      <c r="K6" s="15" t="n">
        <v>46270</v>
      </c>
      <c r="L6" s="15" t="n">
        <v>46273</v>
      </c>
      <c r="M6" s="13" t="inlineStr">
        <is>
          <t>Sales Rep 1</t>
        </is>
      </c>
      <c r="N6" s="9" t="inlineStr">
        <is>
          <t>Confirm next step</t>
        </is>
      </c>
      <c r="O6" s="9" t="inlineStr">
        <is>
          <t>Synthetic sample record — not a real prospect.</t>
        </is>
      </c>
    </row>
    <row r="7">
      <c r="A7" s="13" t="inlineStr">
        <is>
          <t>L006</t>
        </is>
      </c>
      <c r="B7" s="13" t="inlineStr">
        <is>
          <t>Demo Contact 06</t>
        </is>
      </c>
      <c r="C7" s="9" t="inlineStr">
        <is>
          <t>UrbanCart Demo</t>
        </is>
      </c>
      <c r="D7" s="9" t="inlineStr">
        <is>
          <t>demo.contact06@example.com</t>
        </is>
      </c>
      <c r="E7" s="13" t="inlineStr">
        <is>
          <t>+91-9000000006</t>
        </is>
      </c>
      <c r="F7" s="13" t="inlineStr">
        <is>
          <t>Social media</t>
        </is>
      </c>
      <c r="G7" s="9" t="inlineStr">
        <is>
          <t>Business service</t>
        </is>
      </c>
      <c r="H7" s="14" t="n">
        <v>17500</v>
      </c>
      <c r="I7" s="13" t="inlineStr">
        <is>
          <t>Won</t>
        </is>
      </c>
      <c r="J7" s="14" t="n">
        <v>25500</v>
      </c>
      <c r="K7" s="15" t="n">
        <v>46271</v>
      </c>
      <c r="L7" s="15" t="n">
        <v>46275</v>
      </c>
      <c r="M7" s="13" t="inlineStr">
        <is>
          <t>Sales Rep 1</t>
        </is>
      </c>
      <c r="N7" s="9" t="inlineStr">
        <is>
          <t>Call to qualify</t>
        </is>
      </c>
      <c r="O7" s="9" t="inlineStr">
        <is>
          <t>Synthetic sample record — not a real prospect.</t>
        </is>
      </c>
    </row>
    <row r="8">
      <c r="A8" s="13" t="inlineStr">
        <is>
          <t>L007</t>
        </is>
      </c>
      <c r="B8" s="13" t="inlineStr">
        <is>
          <t>Demo Contact 07</t>
        </is>
      </c>
      <c r="C8" s="9" t="inlineStr">
        <is>
          <t>Silverline Finance</t>
        </is>
      </c>
      <c r="D8" s="9" t="inlineStr">
        <is>
          <t>demo.contact07@example.com</t>
        </is>
      </c>
      <c r="E8" s="13" t="inlineStr">
        <is>
          <t>+91-9000000007</t>
        </is>
      </c>
      <c r="F8" s="13" t="inlineStr">
        <is>
          <t>Referral</t>
        </is>
      </c>
      <c r="G8" s="9" t="inlineStr">
        <is>
          <t>Product enquiry</t>
        </is>
      </c>
      <c r="H8" s="14" t="n">
        <v>5000</v>
      </c>
      <c r="I8" s="13" t="inlineStr">
        <is>
          <t>Lost</t>
        </is>
      </c>
      <c r="J8" s="14" t="n">
        <v>29000</v>
      </c>
      <c r="K8" s="15" t="n">
        <v>46272</v>
      </c>
      <c r="L8" s="15" t="n">
        <v>46277</v>
      </c>
      <c r="M8" s="13" t="inlineStr">
        <is>
          <t>Sales Rep 1</t>
        </is>
      </c>
      <c r="N8" s="9" t="inlineStr">
        <is>
          <t>Send details</t>
        </is>
      </c>
      <c r="O8" s="9" t="inlineStr">
        <is>
          <t>Synthetic sample record — not a real prospect.</t>
        </is>
      </c>
    </row>
    <row r="9">
      <c r="A9" s="13" t="inlineStr">
        <is>
          <t>L008</t>
        </is>
      </c>
      <c r="B9" s="13" t="inlineStr">
        <is>
          <t>Demo Contact 08</t>
        </is>
      </c>
      <c r="C9" s="9" t="inlineStr">
        <is>
          <t>Maple Events</t>
        </is>
      </c>
      <c r="D9" s="9" t="inlineStr">
        <is>
          <t>demo.contact08@example.com</t>
        </is>
      </c>
      <c r="E9" s="13" t="inlineStr">
        <is>
          <t>+91-9000000008</t>
        </is>
      </c>
      <c r="F9" s="13" t="inlineStr">
        <is>
          <t>Website</t>
        </is>
      </c>
      <c r="G9" s="9" t="inlineStr">
        <is>
          <t>Service comparison</t>
        </is>
      </c>
      <c r="H9" s="14" t="n">
        <v>7500</v>
      </c>
      <c r="I9" s="13" t="inlineStr">
        <is>
          <t>New</t>
        </is>
      </c>
      <c r="J9" s="14" t="n">
        <v>32500</v>
      </c>
      <c r="K9" s="15" t="n">
        <v>46273</v>
      </c>
      <c r="L9" s="15" t="n">
        <v>46279</v>
      </c>
      <c r="M9" s="13" t="inlineStr">
        <is>
          <t>Sales Rep 1</t>
        </is>
      </c>
      <c r="N9" s="9" t="inlineStr">
        <is>
          <t>Schedule meeting</t>
        </is>
      </c>
      <c r="O9" s="9" t="inlineStr">
        <is>
          <t>Synthetic sample record — not a real prospect.</t>
        </is>
      </c>
    </row>
    <row r="10">
      <c r="A10" s="13" t="inlineStr">
        <is>
          <t>L009</t>
        </is>
      </c>
      <c r="B10" s="13" t="inlineStr">
        <is>
          <t>Demo Contact 09</t>
        </is>
      </c>
      <c r="C10" s="9" t="inlineStr">
        <is>
          <t>Orbit Training</t>
        </is>
      </c>
      <c r="D10" s="9" t="inlineStr">
        <is>
          <t>demo.contact09@example.com</t>
        </is>
      </c>
      <c r="E10" s="13" t="inlineStr">
        <is>
          <t>+91-9000000009</t>
        </is>
      </c>
      <c r="F10" s="13" t="inlineStr">
        <is>
          <t>Walk-in</t>
        </is>
      </c>
      <c r="G10" s="9" t="inlineStr">
        <is>
          <t>Bulk purchase</t>
        </is>
      </c>
      <c r="H10" s="14" t="n">
        <v>10000</v>
      </c>
      <c r="I10" s="13" t="inlineStr">
        <is>
          <t>Contacted</t>
        </is>
      </c>
      <c r="J10" s="14" t="n">
        <v>8000</v>
      </c>
      <c r="K10" s="15" t="n">
        <v>46274</v>
      </c>
      <c r="L10" s="15" t="n">
        <v>46281</v>
      </c>
      <c r="M10" s="13" t="inlineStr">
        <is>
          <t>Sales Rep 1</t>
        </is>
      </c>
      <c r="N10" s="9" t="inlineStr">
        <is>
          <t>Share quotation</t>
        </is>
      </c>
      <c r="O10" s="9" t="inlineStr">
        <is>
          <t>Synthetic sample record — not a real prospect.</t>
        </is>
      </c>
    </row>
    <row r="11">
      <c r="A11" s="13" t="inlineStr">
        <is>
          <t>L010</t>
        </is>
      </c>
      <c r="B11" s="13" t="inlineStr">
        <is>
          <t>Demo Contact 10</t>
        </is>
      </c>
      <c r="C11" s="9" t="inlineStr">
        <is>
          <t>Sunrise Wholesale</t>
        </is>
      </c>
      <c r="D11" s="9" t="inlineStr">
        <is>
          <t>demo.contact10@example.com</t>
        </is>
      </c>
      <c r="E11" s="13" t="inlineStr">
        <is>
          <t>+91-9000000010</t>
        </is>
      </c>
      <c r="F11" s="13" t="inlineStr">
        <is>
          <t>Phone enquiry</t>
        </is>
      </c>
      <c r="G11" s="9" t="inlineStr">
        <is>
          <t>Training enquiry</t>
        </is>
      </c>
      <c r="H11" s="14" t="n">
        <v>12500</v>
      </c>
      <c r="I11" s="13" t="inlineStr">
        <is>
          <t>Qualified</t>
        </is>
      </c>
      <c r="J11" s="14" t="n">
        <v>11500</v>
      </c>
      <c r="K11" s="15" t="n">
        <v>46275</v>
      </c>
      <c r="L11" s="15" t="n">
        <v>46283</v>
      </c>
      <c r="M11" s="13" t="inlineStr">
        <is>
          <t>Sales Rep 1</t>
        </is>
      </c>
      <c r="N11" s="9" t="inlineStr">
        <is>
          <t>Confirm next step</t>
        </is>
      </c>
      <c r="O11" s="9" t="inlineStr">
        <is>
          <t>Synthetic sample record — not a real prospect.</t>
        </is>
      </c>
    </row>
    <row r="12">
      <c r="A12" s="13" t="inlineStr">
        <is>
          <t>L011</t>
        </is>
      </c>
      <c r="B12" s="13" t="inlineStr">
        <is>
          <t>Demo Contact 11</t>
        </is>
      </c>
      <c r="C12" s="9" t="inlineStr">
        <is>
          <t>Greenfield Clinic</t>
        </is>
      </c>
      <c r="D12" s="9" t="inlineStr">
        <is>
          <t>demo.contact11@example.com</t>
        </is>
      </c>
      <c r="E12" s="13" t="inlineStr">
        <is>
          <t>+91-9000000011</t>
        </is>
      </c>
      <c r="F12" s="13" t="inlineStr">
        <is>
          <t>Email</t>
        </is>
      </c>
      <c r="G12" s="9" t="inlineStr">
        <is>
          <t>Order follow-up</t>
        </is>
      </c>
      <c r="H12" s="14" t="n">
        <v>15000</v>
      </c>
      <c r="I12" s="13" t="inlineStr">
        <is>
          <t>Meeting Scheduled</t>
        </is>
      </c>
      <c r="J12" s="14" t="n">
        <v>15000</v>
      </c>
      <c r="K12" s="15" t="n">
        <v>46276</v>
      </c>
      <c r="L12" s="15" t="n">
        <v>46285</v>
      </c>
      <c r="M12" s="13" t="inlineStr">
        <is>
          <t>Sales Rep 1</t>
        </is>
      </c>
      <c r="N12" s="9" t="inlineStr">
        <is>
          <t>Call to qualify</t>
        </is>
      </c>
      <c r="O12" s="9" t="inlineStr">
        <is>
          <t>Synthetic sample record — not a real prospect.</t>
        </is>
      </c>
    </row>
    <row r="13">
      <c r="A13" s="13" t="inlineStr">
        <is>
          <t>L012</t>
        </is>
      </c>
      <c r="B13" s="13" t="inlineStr">
        <is>
          <t>Demo Contact 12</t>
        </is>
      </c>
      <c r="C13" s="9" t="inlineStr">
        <is>
          <t>Pioneer Logistics</t>
        </is>
      </c>
      <c r="D13" s="9" t="inlineStr">
        <is>
          <t>demo.contact12@example.com</t>
        </is>
      </c>
      <c r="E13" s="13" t="inlineStr">
        <is>
          <t>+91-9000000012</t>
        </is>
      </c>
      <c r="F13" s="13" t="inlineStr">
        <is>
          <t>Social media</t>
        </is>
      </c>
      <c r="G13" s="9" t="inlineStr">
        <is>
          <t>Business service</t>
        </is>
      </c>
      <c r="H13" s="14" t="n">
        <v>17500</v>
      </c>
      <c r="I13" s="13" t="inlineStr">
        <is>
          <t>Proposal</t>
        </is>
      </c>
      <c r="J13" s="14" t="n">
        <v>18500</v>
      </c>
      <c r="K13" s="15" t="n">
        <v>46277</v>
      </c>
      <c r="L13" s="15" t="n">
        <v>46287</v>
      </c>
      <c r="M13" s="13" t="inlineStr">
        <is>
          <t>Sales Rep 1</t>
        </is>
      </c>
      <c r="N13" s="9" t="inlineStr">
        <is>
          <t>Send details</t>
        </is>
      </c>
      <c r="O13" s="9" t="inlineStr">
        <is>
          <t>Synthetic sample record — not a real prospect.</t>
        </is>
      </c>
    </row>
    <row r="14">
      <c r="A14" s="13" t="inlineStr">
        <is>
          <t>L013</t>
        </is>
      </c>
      <c r="B14" s="13" t="inlineStr">
        <is>
          <t>Demo Contact 13</t>
        </is>
      </c>
      <c r="C14" s="9" t="inlineStr">
        <is>
          <t>Clearview Systems</t>
        </is>
      </c>
      <c r="D14" s="9" t="inlineStr">
        <is>
          <t>demo.contact13@example.com</t>
        </is>
      </c>
      <c r="E14" s="13" t="inlineStr">
        <is>
          <t>+91-9000000013</t>
        </is>
      </c>
      <c r="F14" s="13" t="inlineStr">
        <is>
          <t>Referral</t>
        </is>
      </c>
      <c r="G14" s="9" t="inlineStr">
        <is>
          <t>Product enquiry</t>
        </is>
      </c>
      <c r="H14" s="14" t="n">
        <v>5000</v>
      </c>
      <c r="I14" s="13" t="inlineStr">
        <is>
          <t>Won</t>
        </is>
      </c>
      <c r="J14" s="14" t="n">
        <v>22000</v>
      </c>
      <c r="K14" s="15" t="n">
        <v>46278</v>
      </c>
      <c r="L14" s="15" t="n">
        <v>46289</v>
      </c>
      <c r="M14" s="13" t="inlineStr">
        <is>
          <t>Sales Rep 1</t>
        </is>
      </c>
      <c r="N14" s="9" t="inlineStr">
        <is>
          <t>Schedule meeting</t>
        </is>
      </c>
      <c r="O14" s="9" t="inlineStr">
        <is>
          <t>Synthetic sample record — not a real prospect.</t>
        </is>
      </c>
    </row>
    <row r="15">
      <c r="A15" s="13" t="inlineStr">
        <is>
          <t>L014</t>
        </is>
      </c>
      <c r="B15" s="13" t="inlineStr">
        <is>
          <t>Demo Contact 14</t>
        </is>
      </c>
      <c r="C15" s="9" t="inlineStr">
        <is>
          <t>Lakeview Store</t>
        </is>
      </c>
      <c r="D15" s="9" t="inlineStr">
        <is>
          <t>demo.contact14@example.com</t>
        </is>
      </c>
      <c r="E15" s="13" t="inlineStr">
        <is>
          <t>+91-9000000014</t>
        </is>
      </c>
      <c r="F15" s="13" t="inlineStr">
        <is>
          <t>Website</t>
        </is>
      </c>
      <c r="G15" s="9" t="inlineStr">
        <is>
          <t>Service comparison</t>
        </is>
      </c>
      <c r="H15" s="14" t="n">
        <v>7500</v>
      </c>
      <c r="I15" s="13" t="inlineStr">
        <is>
          <t>Lost</t>
        </is>
      </c>
      <c r="J15" s="14" t="n">
        <v>25500</v>
      </c>
      <c r="K15" s="15" t="n">
        <v>46279</v>
      </c>
      <c r="L15" s="15" t="n">
        <v>46291</v>
      </c>
      <c r="M15" s="13" t="inlineStr">
        <is>
          <t>Sales Rep 1</t>
        </is>
      </c>
      <c r="N15" s="9" t="inlineStr">
        <is>
          <t>Share quotation</t>
        </is>
      </c>
      <c r="O15" s="9" t="inlineStr">
        <is>
          <t>Synthetic sample record — not a real prospect.</t>
        </is>
      </c>
    </row>
    <row r="16">
      <c r="A16" s="13" t="inlineStr">
        <is>
          <t>L015</t>
        </is>
      </c>
      <c r="B16" s="13" t="inlineStr">
        <is>
          <t>Demo Contact 15</t>
        </is>
      </c>
      <c r="C16" s="9" t="inlineStr">
        <is>
          <t>Vertex Services</t>
        </is>
      </c>
      <c r="D16" s="9" t="inlineStr">
        <is>
          <t>demo.contact15@example.com</t>
        </is>
      </c>
      <c r="E16" s="13" t="inlineStr">
        <is>
          <t>+91-9000000015</t>
        </is>
      </c>
      <c r="F16" s="13" t="inlineStr">
        <is>
          <t>Walk-in</t>
        </is>
      </c>
      <c r="G16" s="9" t="inlineStr">
        <is>
          <t>Bulk purchase</t>
        </is>
      </c>
      <c r="H16" s="14" t="n">
        <v>10000</v>
      </c>
      <c r="I16" s="13" t="inlineStr">
        <is>
          <t>New</t>
        </is>
      </c>
      <c r="J16" s="14" t="n">
        <v>29000</v>
      </c>
      <c r="K16" s="15" t="n">
        <v>46280</v>
      </c>
      <c r="L16" s="15" t="n">
        <v>46293</v>
      </c>
      <c r="M16" s="13" t="inlineStr">
        <is>
          <t>Sales Rep 1</t>
        </is>
      </c>
      <c r="N16" s="9" t="inlineStr">
        <is>
          <t>Confirm next step</t>
        </is>
      </c>
      <c r="O16" s="9" t="inlineStr">
        <is>
          <t>Synthetic sample record — not a real prospect.</t>
        </is>
      </c>
    </row>
    <row r="17">
      <c r="A17" s="13" t="inlineStr">
        <is>
          <t>L016</t>
        </is>
      </c>
      <c r="B17" s="13" t="inlineStr">
        <is>
          <t>Demo Contact 16</t>
        </is>
      </c>
      <c r="C17" s="9" t="inlineStr">
        <is>
          <t>Cobalt Education</t>
        </is>
      </c>
      <c r="D17" s="9" t="inlineStr">
        <is>
          <t>demo.contact16@example.com</t>
        </is>
      </c>
      <c r="E17" s="13" t="inlineStr">
        <is>
          <t>+91-9000000016</t>
        </is>
      </c>
      <c r="F17" s="13" t="inlineStr">
        <is>
          <t>Phone enquiry</t>
        </is>
      </c>
      <c r="G17" s="9" t="inlineStr">
        <is>
          <t>Training enquiry</t>
        </is>
      </c>
      <c r="H17" s="14" t="n">
        <v>12500</v>
      </c>
      <c r="I17" s="13" t="inlineStr">
        <is>
          <t>Contacted</t>
        </is>
      </c>
      <c r="J17" s="14" t="n">
        <v>32500</v>
      </c>
      <c r="K17" s="15" t="n">
        <v>46281</v>
      </c>
      <c r="L17" s="15" t="n">
        <v>46295</v>
      </c>
      <c r="M17" s="13" t="inlineStr">
        <is>
          <t>Sales Rep 1</t>
        </is>
      </c>
      <c r="N17" s="9" t="inlineStr">
        <is>
          <t>Call to qualify</t>
        </is>
      </c>
      <c r="O17" s="9" t="inlineStr">
        <is>
          <t>Synthetic sample record — not a real prospect.</t>
        </is>
      </c>
    </row>
    <row r="18">
      <c r="A18" s="13" t="inlineStr">
        <is>
          <t>L017</t>
        </is>
      </c>
      <c r="B18" s="13" t="inlineStr">
        <is>
          <t>Demo Contact 17</t>
        </is>
      </c>
      <c r="C18" s="9" t="inlineStr">
        <is>
          <t>Nova Traders</t>
        </is>
      </c>
      <c r="D18" s="9" t="inlineStr">
        <is>
          <t>demo.contact17@example.com</t>
        </is>
      </c>
      <c r="E18" s="13" t="inlineStr">
        <is>
          <t>+91-9000000017</t>
        </is>
      </c>
      <c r="F18" s="13" t="inlineStr">
        <is>
          <t>Email</t>
        </is>
      </c>
      <c r="G18" s="9" t="inlineStr">
        <is>
          <t>Order follow-up</t>
        </is>
      </c>
      <c r="H18" s="14" t="n">
        <v>15000</v>
      </c>
      <c r="I18" s="13" t="inlineStr">
        <is>
          <t>Qualified</t>
        </is>
      </c>
      <c r="J18" s="14" t="n">
        <v>8000</v>
      </c>
      <c r="K18" s="15" t="n">
        <v>46282</v>
      </c>
      <c r="L18" s="15" t="n">
        <v>46297</v>
      </c>
      <c r="M18" s="13" t="inlineStr">
        <is>
          <t>Sales Rep 1</t>
        </is>
      </c>
      <c r="N18" s="9" t="inlineStr">
        <is>
          <t>Send details</t>
        </is>
      </c>
      <c r="O18" s="9" t="inlineStr">
        <is>
          <t>Synthetic sample record — not a real prospect.</t>
        </is>
      </c>
    </row>
    <row r="19">
      <c r="A19" s="13" t="inlineStr">
        <is>
          <t>L018</t>
        </is>
      </c>
      <c r="B19" s="13" t="inlineStr">
        <is>
          <t>Demo Contact 18</t>
        </is>
      </c>
      <c r="C19" s="9" t="inlineStr">
        <is>
          <t>Meadow Support</t>
        </is>
      </c>
      <c r="D19" s="9" t="inlineStr">
        <is>
          <t>demo.contact18@example.com</t>
        </is>
      </c>
      <c r="E19" s="13" t="inlineStr">
        <is>
          <t>+91-9000000018</t>
        </is>
      </c>
      <c r="F19" s="13" t="inlineStr">
        <is>
          <t>Social media</t>
        </is>
      </c>
      <c r="G19" s="9" t="inlineStr">
        <is>
          <t>Business service</t>
        </is>
      </c>
      <c r="H19" s="14" t="n">
        <v>17500</v>
      </c>
      <c r="I19" s="13" t="inlineStr">
        <is>
          <t>Meeting Scheduled</t>
        </is>
      </c>
      <c r="J19" s="14" t="n">
        <v>11500</v>
      </c>
      <c r="K19" s="15" t="n">
        <v>46283</v>
      </c>
      <c r="L19" s="15" t="n">
        <v>46299</v>
      </c>
      <c r="M19" s="13" t="inlineStr">
        <is>
          <t>Sales Rep 1</t>
        </is>
      </c>
      <c r="N19" s="9" t="inlineStr">
        <is>
          <t>Schedule meeting</t>
        </is>
      </c>
      <c r="O19" s="9" t="inlineStr">
        <is>
          <t>Synthetic sample record — not a real prospect.</t>
        </is>
      </c>
    </row>
    <row r="20">
      <c r="A20" s="13" t="inlineStr">
        <is>
          <t>L019</t>
        </is>
      </c>
      <c r="B20" s="13" t="inlineStr">
        <is>
          <t>Demo Contact 19</t>
        </is>
      </c>
      <c r="C20" s="9" t="inlineStr">
        <is>
          <t>Summit Retail</t>
        </is>
      </c>
      <c r="D20" s="9" t="inlineStr">
        <is>
          <t>demo.contact19@example.com</t>
        </is>
      </c>
      <c r="E20" s="13" t="inlineStr">
        <is>
          <t>+91-9000000019</t>
        </is>
      </c>
      <c r="F20" s="13" t="inlineStr">
        <is>
          <t>Referral</t>
        </is>
      </c>
      <c r="G20" s="9" t="inlineStr">
        <is>
          <t>Product enquiry</t>
        </is>
      </c>
      <c r="H20" s="14" t="n">
        <v>29000</v>
      </c>
      <c r="I20" s="13" t="inlineStr">
        <is>
          <t>Proposal</t>
        </is>
      </c>
      <c r="J20" s="14" t="n">
        <v>15000</v>
      </c>
      <c r="K20" s="15" t="n">
        <v>46284</v>
      </c>
      <c r="L20" s="15" t="n">
        <v>46301</v>
      </c>
      <c r="M20" s="13" t="inlineStr">
        <is>
          <t>Sales Rep 1</t>
        </is>
      </c>
      <c r="N20" s="9" t="inlineStr">
        <is>
          <t>Share quotation</t>
        </is>
      </c>
      <c r="O20" s="9" t="inlineStr">
        <is>
          <t>Synthetic sample record — not a real prospect.</t>
        </is>
      </c>
    </row>
    <row r="21">
      <c r="A21" s="13" t="inlineStr">
        <is>
          <t>L020</t>
        </is>
      </c>
      <c r="B21" s="13" t="inlineStr">
        <is>
          <t>Demo Contact 20</t>
        </is>
      </c>
      <c r="C21" s="9" t="inlineStr">
        <is>
          <t>Amber Solutions</t>
        </is>
      </c>
      <c r="D21" s="9" t="inlineStr">
        <is>
          <t>demo.contact20@example.com</t>
        </is>
      </c>
      <c r="E21" s="13" t="inlineStr">
        <is>
          <t>+91-9000000020</t>
        </is>
      </c>
      <c r="F21" s="13" t="inlineStr">
        <is>
          <t>Website</t>
        </is>
      </c>
      <c r="G21" s="9" t="inlineStr">
        <is>
          <t>Service comparison</t>
        </is>
      </c>
      <c r="H21" s="14" t="n">
        <v>32500</v>
      </c>
      <c r="I21" s="13" t="inlineStr">
        <is>
          <t>Won</t>
        </is>
      </c>
      <c r="J21" s="14" t="n">
        <v>18500</v>
      </c>
      <c r="K21" s="15" t="n">
        <v>46285</v>
      </c>
      <c r="L21" s="15" t="n">
        <v>46303</v>
      </c>
      <c r="M21" s="13" t="inlineStr">
        <is>
          <t>Sales Rep 1</t>
        </is>
      </c>
      <c r="N21" s="9" t="inlineStr">
        <is>
          <t>Confirm next step</t>
        </is>
      </c>
      <c r="O21" s="9" t="inlineStr">
        <is>
          <t>Synthetic sample record — not a real prospect.</t>
        </is>
      </c>
    </row>
  </sheetData>
  <conditionalFormatting sqref="L2:L21">
    <cfRule type="expression" priority="1" dxfId="0">
      <formula>AND($L2&lt;TODAY(),$I2&lt;&gt;"Won",$I2&lt;&gt;"Lost",$L2&lt;&gt;"")</formula>
    </cfRule>
  </conditionalFormatting>
  <conditionalFormatting sqref="I2:I21">
    <cfRule type="expression" priority="2" dxfId="1">
      <formula>$I2="Won"</formula>
    </cfRule>
  </conditionalFormatting>
  <dataValidations count="1">
    <dataValidation sqref="I2:I21" showDropDown="0" showInputMessage="0" showErrorMessage="0" allowBlank="0" type="list">
      <formula1>"New,Contacted,Qualified,Meeting Scheduled,Proposal,Won,Lost"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20" customWidth="1" min="3" max="3"/>
  </cols>
  <sheetData>
    <row r="1" ht="30" customHeight="1">
      <c r="A1" s="1" t="inlineStr">
        <is>
          <t>LEAD STATUS SUMMARY</t>
        </is>
      </c>
    </row>
    <row r="3">
      <c r="A3" s="2" t="inlineStr">
        <is>
          <t>Status</t>
        </is>
      </c>
      <c r="B3" s="2" t="inlineStr">
        <is>
          <t>Lead Count</t>
        </is>
      </c>
      <c r="C3" s="2" t="inlineStr">
        <is>
          <t>Share of Leads</t>
        </is>
      </c>
    </row>
    <row r="4">
      <c r="A4" t="inlineStr">
        <is>
          <t>New</t>
        </is>
      </c>
      <c r="B4">
        <f>COUNTIF('Lead Tracker'!$I$2:$I$21,A4)</f>
        <v/>
      </c>
      <c r="C4" s="16">
        <f>IFERROR(B4/COUNTA('Lead Tracker'!$A$2:$A$21),0)</f>
        <v/>
      </c>
    </row>
    <row r="5">
      <c r="A5" t="inlineStr">
        <is>
          <t>Contacted</t>
        </is>
      </c>
      <c r="B5">
        <f>COUNTIF('Lead Tracker'!$I$2:$I$21,A5)</f>
        <v/>
      </c>
      <c r="C5" s="16">
        <f>IFERROR(B5/COUNTA('Lead Tracker'!$A$2:$A$21),0)</f>
        <v/>
      </c>
    </row>
    <row r="6">
      <c r="A6" t="inlineStr">
        <is>
          <t>Qualified</t>
        </is>
      </c>
      <c r="B6">
        <f>COUNTIF('Lead Tracker'!$I$2:$I$21,A6)</f>
        <v/>
      </c>
      <c r="C6" s="16">
        <f>IFERROR(B6/COUNTA('Lead Tracker'!$A$2:$A$21),0)</f>
        <v/>
      </c>
    </row>
    <row r="7">
      <c r="A7" t="inlineStr">
        <is>
          <t>Meeting Scheduled</t>
        </is>
      </c>
      <c r="B7">
        <f>COUNTIF('Lead Tracker'!$I$2:$I$21,A7)</f>
        <v/>
      </c>
      <c r="C7" s="16">
        <f>IFERROR(B7/COUNTA('Lead Tracker'!$A$2:$A$21),0)</f>
        <v/>
      </c>
    </row>
    <row r="8">
      <c r="A8" t="inlineStr">
        <is>
          <t>Proposal</t>
        </is>
      </c>
      <c r="B8">
        <f>COUNTIF('Lead Tracker'!$I$2:$I$21,A8)</f>
        <v/>
      </c>
      <c r="C8" s="16">
        <f>IFERROR(B8/COUNTA('Lead Tracker'!$A$2:$A$21),0)</f>
        <v/>
      </c>
    </row>
    <row r="9">
      <c r="A9" t="inlineStr">
        <is>
          <t>Won</t>
        </is>
      </c>
      <c r="B9">
        <f>COUNTIF('Lead Tracker'!$I$2:$I$21,A9)</f>
        <v/>
      </c>
      <c r="C9" s="16">
        <f>IFERROR(B9/COUNTA('Lead Tracker'!$A$2:$A$21),0)</f>
        <v/>
      </c>
    </row>
    <row r="10">
      <c r="A10" t="inlineStr">
        <is>
          <t>Lost</t>
        </is>
      </c>
      <c r="B10">
        <f>COUNTIF('Lead Tracker'!$I$2:$I$21,A10)</f>
        <v/>
      </c>
      <c r="C10" s="16">
        <f>IFERROR(B10/COUNTA('Lead Tracker'!$A$2:$A$21),0)</f>
        <v/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2026-10-09T06:00:29Z</dcterms:created>
  <dcterms:modified xmlns:dcterms="http://purl.org/dc/terms/" xmlns:xsi="http://www.w3.org/2001/XMLSchema-instance" xsi:type="dcterms:W3CDTF">2026-10-09T06:00:29Z</dcterms:modified>
</cp:coreProperties>
</file>
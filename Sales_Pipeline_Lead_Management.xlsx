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0de49151a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bdc60e457eb492f"/>
    <x:sheet xmlns:r="http://schemas.openxmlformats.org/officeDocument/2006/relationships" name="Lead Tracker" sheetId="2" r:id="Redecbf00da6a41a3"/>
    <x:sheet xmlns:r="http://schemas.openxmlformats.org/officeDocument/2006/relationships" name="Funnel Analysis" sheetId="3" r:id="Redd67a94b30d4388"/>
    <x:sheet xmlns:r="http://schemas.openxmlformats.org/officeDocument/2006/relationships" name="Call Playbook" sheetId="4" r:id="Ra2354a1dc4044b01"/>
    <x:sheet xmlns:r="http://schemas.openxmlformats.org/officeDocument/2006/relationships" name="How to Use" sheetId="5" r:id="R00bec614b17b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%"/>
    <x:numFmt numFmtId="202" formatCode="dd-mmm-yyyy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22"/>
      <x:color rgb="FF17365D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sz val="10"/>
      <x:color rgb="FF7F6000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202" fontId="7" fillId="0" borderId="0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38761D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7fcc2ec34427d" /><Relationship Type="http://schemas.openxmlformats.org/officeDocument/2006/relationships/theme" Target="/xl/theme/theme1.xml" Id="Rf47ffbcdd252428c" /><Relationship Type="http://schemas.openxmlformats.org/officeDocument/2006/relationships/sharedStrings" Target="/xl/sharedStrings.xml" Id="R16c9c43c01b44755" /><Relationship Type="http://schemas.openxmlformats.org/officeDocument/2006/relationships/worksheet" Target="/xl/worksheets/sheet1.xml" Id="R3bdc60e457eb492f" /><Relationship Type="http://schemas.openxmlformats.org/officeDocument/2006/relationships/worksheet" Target="/xl/worksheets/sheet2.xml" Id="Redecbf00da6a41a3" /><Relationship Type="http://schemas.openxmlformats.org/officeDocument/2006/relationships/worksheet" Target="/xl/worksheets/sheet3.xml" Id="Redd67a94b30d4388" /><Relationship Type="http://schemas.openxmlformats.org/officeDocument/2006/relationships/worksheet" Target="/xl/worksheets/sheet4.xml" Id="Ra2354a1dc4044b01" /><Relationship Type="http://schemas.openxmlformats.org/officeDocument/2006/relationships/worksheet" Target="/xl/worksheets/sheet5.xml" Id="R00bec614b17b49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7f886149e44d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by Current Stage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'Dashboard'!$D$10:$D$16</c:f>
              <c:strCache>
                <c:ptCount val="0"/>
              </c:strCache>
            </c:strRef>
          </c:cat>
          <c:val>
            <c:numRef>
              <c:f>'Dashboard'!$E$10:$E$16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7f886149e44d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LeadTracker" displayName="SalesLeadTracker" ref="A4:M54" headerRowCount="1" totalsRowCount="0" totalsRowShown="0">
  <x:tableColumns count="13">
    <x:tableColumn id="1" name="Lead ID"/>
    <x:tableColumn id="2" name="Company"/>
    <x:tableColumn id="3" name="Contact"/>
    <x:tableColumn id="4" name="Industry"/>
    <x:tableColumn id="5" name="Lead Source"/>
    <x:tableColumn id="6" name="Owner"/>
    <x:tableColumn id="7" name="Stage"/>
    <x:tableColumn id="8" name="Priority"/>
    <x:tableColumn id="9" name="Est. Value (₹)"/>
    <x:tableColumn id="10" name="Last Contact"/>
    <x:tableColumn id="11" name="Next Follow-up"/>
    <x:tableColumn id="12" name="Follow-up Flag"/>
    <x:tableColumn id="13" name="Next Action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0c4f824bca45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ac14ea3d8446b3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4" hidden="0" customWidth="1"/>
    <x:col min="4" max="4" width="22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2" customHeight="1">
      <x:c r="A1" s="5" t="str">
        <x:v>SALES CRM &amp; LEAD FUNNEL</x:v>
      </x:c>
      <x:c r="B1" s="5"/>
      <x:c r="C1" s="5"/>
      <x:c r="D1" s="5"/>
      <x:c r="E1" s="5"/>
      <x:c r="F1" s="5"/>
      <x:c r="G1" s="5"/>
      <x:c r="H1" s="5"/>
    </x:row>
    <x:row r="2" ht="25" customHeight="1">
      <x:c r="A2" s="14" t="str">
        <x:v>Portfolio simulation | 50 fictional business leads | Excel-based practice CRM</x:v>
      </x:c>
      <x:c r="B2" s="14"/>
      <x:c r="C2" s="14"/>
      <x:c r="D2" s="14"/>
      <x:c r="E2" s="14"/>
      <x:c r="F2" s="14"/>
      <x:c r="G2" s="14"/>
      <x:c r="H2" s="14"/>
    </x:row>
    <x:row r="4" ht="22" customHeight="1">
      <x:c r="A4" s="23" t="str">
        <x:v>TOTAL LEADS</x:v>
      </x:c>
      <x:c r="B4" s="23"/>
      <x:c r="C4" s="23" t="str">
        <x:v>OPEN LEADS</x:v>
      </x:c>
      <x:c r="D4" s="23"/>
      <x:c r="E4" s="23" t="str">
        <x:v>OVERDUE FOLLOW-UPS</x:v>
      </x:c>
      <x:c r="F4" s="23"/>
      <x:c r="G4" s="23" t="str">
        <x:v>WON DEALS</x:v>
      </x:c>
      <x:c r="H4" s="23"/>
    </x:row>
    <x:row r="5" ht="28" customHeight="1">
      <x:c r="A5" s="31" t="n">
        <x:f>COUNTA('Lead Tracker'!A5:A54)</x:f>
        <x:v>50</x:v>
      </x:c>
      <x:c r="B5" s="31"/>
      <x:c r="C5" s="31" t="n">
        <x:f>COUNTIFS('Lead Tracker'!G5:G54,"&lt;&gt;Won",'Lead Tracker'!G5:G54,"&lt;&gt;Lost")</x:f>
        <x:v>43</x:v>
      </x:c>
      <x:c r="D5" s="31"/>
      <x:c r="E5" s="31" t="n">
        <x:f>COUNTIF('Lead Tracker'!L5:L54,"OVERDUE")</x:f>
        <x:v>20</x:v>
      </x:c>
      <x:c r="F5" s="31"/>
      <x:c r="G5" s="31" t="n">
        <x:f>COUNTIF('Lead Tracker'!G5:G54,"Won")</x:f>
        <x:v>4</x:v>
      </x:c>
      <x:c r="H5" s="31"/>
    </x:row>
    <x:row r="6" ht="28" customHeight="1">
      <x:c r="A6" s="31"/>
      <x:c r="B6" s="31"/>
      <x:c r="C6" s="31"/>
      <x:c r="D6" s="31"/>
      <x:c r="E6" s="31"/>
      <x:c r="F6" s="31"/>
      <x:c r="G6" s="31"/>
      <x:c r="H6" s="31"/>
    </x:row>
    <x:row r="8" ht="24" customHeight="1">
      <x:c r="A8" s="36" t="str">
        <x:v>PIPELINE SNAPSHOT</x:v>
      </x:c>
      <x:c r="B8" s="36"/>
      <x:c r="C8" s="36"/>
      <x:c r="D8" s="36" t="str">
        <x:v>LEAD STAGE SUMMARY</x:v>
      </x:c>
      <x:c r="E8" s="36"/>
      <x:c r="F8" s="36"/>
      <x:c r="G8" s="36"/>
      <x:c r="H8" s="36"/>
    </x:row>
    <x:row r="9" ht="30" customHeight="1">
      <x:c r="A9" s="41" t="str">
        <x:v>Metric</x:v>
      </x:c>
      <x:c r="B9" s="41" t="str">
        <x:v>Value</x:v>
      </x:c>
      <x:c r="D9" s="41" t="str">
        <x:v>Stage</x:v>
      </x:c>
      <x:c r="E9" s="41" t="str">
        <x:v>Leads</x:v>
      </x:c>
    </x:row>
    <x:row r="10">
      <x:c r="A10" s="48" t="str">
        <x:v>Open pipeline value (₹)</x:v>
      </x:c>
      <x:c r="B10" s="52" t="n">
        <x:f>SUMIFS('Lead Tracker'!I5:I54,'Lead Tracker'!G5:G54,"&lt;&gt;Won",'Lead Tracker'!G5:G54,"&lt;&gt;Lost")</x:f>
        <x:v>1923000</x:v>
      </x:c>
      <x:c r="D10" s="48" t="str">
        <x:v>New Lead</x:v>
      </x:c>
      <x:c r="E10" s="48" t="n">
        <x:f>COUNTIF('Lead Tracker'!G5:G54,D10)</x:f>
        <x:v>10</x:v>
      </x:c>
    </x:row>
    <x:row r="11">
      <x:c r="A11" s="48" t="str">
        <x:v>Won value (₹)</x:v>
      </x:c>
      <x:c r="B11" s="52" t="n">
        <x:f>SUMIF('Lead Tracker'!G5:G54,"Won",'Lead Tracker'!I5:I54)</x:f>
        <x:v>195000</x:v>
      </x:c>
      <x:c r="D11" s="48" t="str">
        <x:v>Contacted</x:v>
      </x:c>
      <x:c r="E11" s="48" t="n">
        <x:f>COUNTIF('Lead Tracker'!G5:G54,D11)</x:f>
        <x:v>11</x:v>
      </x:c>
    </x:row>
    <x:row r="12">
      <x:c r="A12" s="48" t="str">
        <x:v>Meetings booked</x:v>
      </x:c>
      <x:c r="B12" s="48" t="n">
        <x:f>COUNTIF('Lead Tracker'!G5:G54,"Meeting Booked")</x:f>
        <x:v>7</x:v>
      </x:c>
      <x:c r="D12" s="48" t="str">
        <x:v>Qualified</x:v>
      </x:c>
      <x:c r="E12" s="48" t="n">
        <x:f>COUNTIF('Lead Tracker'!G5:G54,D12)</x:f>
        <x:v>9</x:v>
      </x:c>
    </x:row>
    <x:row r="13">
      <x:c r="A13" s="48" t="str">
        <x:v>Proposals sent</x:v>
      </x:c>
      <x:c r="B13" s="48" t="n">
        <x:f>COUNTIF('Lead Tracker'!G5:G54,"Proposal Sent")</x:f>
        <x:v>6</x:v>
      </x:c>
      <x:c r="D13" s="48" t="str">
        <x:v>Meeting Booked</x:v>
      </x:c>
      <x:c r="E13" s="48" t="n">
        <x:f>COUNTIF('Lead Tracker'!G5:G54,D13)</x:f>
        <x:v>7</x:v>
      </x:c>
    </x:row>
    <x:row r="14">
      <x:c r="A14" s="48" t="str">
        <x:v>High-priority open leads</x:v>
      </x:c>
      <x:c r="B14" s="48" t="n">
        <x:f>COUNTIFS('Lead Tracker'!H5:H54,"High",'Lead Tracker'!G5:G54,"&lt;&gt;Won",'Lead Tracker'!G5:G54,"&lt;&gt;Lost")</x:f>
        <x:v>25</x:v>
      </x:c>
      <x:c r="D14" s="48" t="str">
        <x:v>Proposal Sent</x:v>
      </x:c>
      <x:c r="E14" s="48" t="n">
        <x:f>COUNTIF('Lead Tracker'!G5:G54,D14)</x:f>
        <x:v>6</x:v>
      </x:c>
    </x:row>
    <x:row r="15">
      <x:c r="A15" s="48" t="str">
        <x:v>Overdue rate</x:v>
      </x:c>
      <x:c r="B15" s="54" t="n">
        <x:f>IFERROR(COUNTIF('Lead Tracker'!L5:L54,"OVERDUE")/COUNTA('Lead Tracker'!A5:A54),0)</x:f>
        <x:v>0.4</x:v>
      </x:c>
      <x:c r="D15" s="48" t="str">
        <x:v>Won</x:v>
      </x:c>
      <x:c r="E15" s="48" t="n">
        <x:f>COUNTIF('Lead Tracker'!G5:G54,D15)</x:f>
        <x:v>4</x:v>
      </x:c>
    </x:row>
    <x:row r="16">
      <x:c r="D16" s="48" t="str">
        <x:v>Lost</x:v>
      </x:c>
      <x:c r="E16" s="48" t="n">
        <x:f>COUNTIF('Lead Tracker'!G5:G54,D16)</x:f>
        <x:v>3</x:v>
      </x:c>
    </x:row>
    <x:row r="18">
      <x:c r="A18" s="59" t="str">
        <x:v>Important: This is a practice CRM using synthetic company/contact names and illustrative deal values. It is not a live CRM connection. Update stages and follow-up dates in Lead Tracker; dashboard values update in Excel.</x:v>
      </x:c>
      <x:c r="B18" s="59"/>
      <x:c r="C18" s="59"/>
      <x:c r="D18" s="59"/>
      <x:c r="E18" s="59"/>
      <x:c r="F18" s="59"/>
      <x:c r="G18" s="59"/>
      <x:c r="H18" s="59"/>
    </x:row>
    <x:row r="19">
      <x:c r="A19" s="59"/>
      <x:c r="B19" s="59"/>
      <x:c r="C19" s="59"/>
      <x:c r="D19" s="59"/>
      <x:c r="E19" s="59"/>
      <x:c r="F19" s="59"/>
      <x:c r="G19" s="59"/>
      <x:c r="H19" s="59"/>
    </x:row>
    <x:row r="20">
      <x:c r="A20" s="59"/>
      <x:c r="B20" s="59"/>
      <x:c r="C20" s="59"/>
      <x:c r="D20" s="59"/>
      <x:c r="E20" s="59"/>
      <x:c r="F20" s="59"/>
      <x:c r="G20" s="59"/>
      <x:c r="H20" s="59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D8"/>
    <x:mergeCell ref="D8:H8"/>
    <x:mergeCell ref="A18:H20"/>
  </x:mergeCells>
  <x:pageMargins left="0.7" right="0.7" top="0.75" bottom="0.75" header="0.3" footer="0.3"/>
  <x:drawing xmlns:r="http://schemas.openxmlformats.org/officeDocument/2006/relationships" r:id="R490c4f824bca4530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13" hidden="0" customWidth="1"/>
    <x:col min="7" max="7" width="19" hidden="0" customWidth="1"/>
    <x:col min="8" max="8" width="12" hidden="0" customWidth="1"/>
    <x:col min="9" max="9" width="18" hidden="0" customWidth="1"/>
    <x:col min="10" max="10" width="16" hidden="0" customWidth="1"/>
    <x:col min="11" max="11" width="16" hidden="0" customWidth="1"/>
    <x:col min="12" max="12" width="17" hidden="0" customWidth="1"/>
    <x:col min="13" max="13" width="45" hidden="0" customWidth="1"/>
  </x:cols>
  <x:sheetData>
    <x:row r="1" ht="30" customHeight="1">
      <x:c r="A1" s="64" t="str">
        <x:v>SALES LEAD TRACKER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</x:row>
    <x:row r="2" ht="28" customHeight="1">
      <x:c r="A2" s="12" t="str">
        <x:v>Edit Stage, Priority and Next Follow-up. All sample contacts and companies are fictional. Overdue flag is formula-driven against today's date.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0" customHeight="1">
      <x:c r="A4" s="41" t="str">
        <x:v>Lead ID</x:v>
      </x:c>
      <x:c r="B4" s="41" t="str">
        <x:v>Company</x:v>
      </x:c>
      <x:c r="C4" s="41" t="str">
        <x:v>Contact</x:v>
      </x:c>
      <x:c r="D4" s="41" t="str">
        <x:v>Industry</x:v>
      </x:c>
      <x:c r="E4" s="41" t="str">
        <x:v>Lead Source</x:v>
      </x:c>
      <x:c r="F4" s="41" t="str">
        <x:v>Owner</x:v>
      </x:c>
      <x:c r="G4" s="41" t="str">
        <x:v>Stage</x:v>
      </x:c>
      <x:c r="H4" s="41" t="str">
        <x:v>Priority</x:v>
      </x:c>
      <x:c r="I4" s="41" t="str">
        <x:v>Est. Value (₹)</x:v>
      </x:c>
      <x:c r="J4" s="41" t="str">
        <x:v>Last Contact</x:v>
      </x:c>
      <x:c r="K4" s="41" t="str">
        <x:v>Next Follow-up</x:v>
      </x:c>
      <x:c r="L4" s="41" t="str">
        <x:v>Follow-up Flag</x:v>
      </x:c>
      <x:c r="M4" s="41" t="str">
        <x:v>Next Action / Notes</x:v>
      </x:c>
    </x:row>
    <x:row r="5">
      <x:c r="A5" s="48" t="str">
        <x:v>LEAD-001</x:v>
      </x:c>
      <x:c r="B5" s="48" t="str">
        <x:v>Amberline Office Supplies</x:v>
      </x:c>
      <x:c r="C5" s="48" t="str">
        <x:v>Sample Contact 01</x:v>
      </x:c>
      <x:c r="D5" s="48" t="str">
        <x:v>Retail</x:v>
      </x:c>
      <x:c r="E5" s="48" t="str">
        <x:v>Website enquiry</x:v>
      </x:c>
      <x:c r="F5" s="48" t="str">
        <x:v>Asha</x:v>
      </x:c>
      <x:c r="G5" s="48" t="str">
        <x:v>New Lead</x:v>
      </x:c>
      <x:c r="H5" s="48" t="str">
        <x:v>High</x:v>
      </x:c>
      <x:c r="I5" s="52" t="n">
        <x:v>18000</x:v>
      </x:c>
      <x:c r="J5" s="66" t="n">
        <x:v>46303</x:v>
      </x:c>
      <x:c r="K5" s="66" t="n">
        <x:v>46299</x:v>
      </x:c>
      <x:c r="L5" s="48" t="str">
        <x:f>IF(OR(G5="Won",G5="Lost"),"Closed",IF(K5&lt;TODAY(),"OVERDUE","On track"))</x:f>
        <x:v>OVERDUE</x:v>
      </x:c>
      <x:c r="M5" s="48" t="str">
        <x:v>Needs initial qualification call.</x:v>
      </x:c>
    </x:row>
    <x:row r="6">
      <x:c r="A6" s="48" t="str">
        <x:v>LEAD-002</x:v>
      </x:c>
      <x:c r="B6" s="48" t="str">
        <x:v>BluePeak Learning</x:v>
      </x:c>
      <x:c r="C6" s="48" t="str">
        <x:v>Sample Contact 02</x:v>
      </x:c>
      <x:c r="D6" s="48" t="str">
        <x:v>Education</x:v>
      </x:c>
      <x:c r="E6" s="48" t="str">
        <x:v>Referral</x:v>
      </x:c>
      <x:c r="F6" s="48" t="str">
        <x:v>Kabir</x:v>
      </x:c>
      <x:c r="G6" s="48" t="str">
        <x:v>New Lead</x:v>
      </x:c>
      <x:c r="H6" s="48" t="str">
        <x:v>High</x:v>
      </x:c>
      <x:c r="I6" s="52" t="n">
        <x:v>32000</x:v>
      </x:c>
      <x:c r="J6" s="66" t="n">
        <x:v>46302</x:v>
      </x:c>
      <x:c r="K6" s="66" t="n">
        <x:v>46300</x:v>
      </x:c>
      <x:c r="L6" s="48" t="str">
        <x:f>IF(OR(G6="Won",G6="Lost"),"Closed",IF(K6&lt;TODAY(),"OVERDUE","On track"))</x:f>
        <x:v>OVERDUE</x:v>
      </x:c>
      <x:c r="M6" s="48" t="str">
        <x:v>Needs initial qualification call.</x:v>
      </x:c>
    </x:row>
    <x:row r="7">
      <x:c r="A7" s="48" t="str">
        <x:v>LEAD-003</x:v>
      </x:c>
      <x:c r="B7" s="48" t="str">
        <x:v>CedarBridge Logistics</x:v>
      </x:c>
      <x:c r="C7" s="48" t="str">
        <x:v>Sample Contact 03</x:v>
      </x:c>
      <x:c r="D7" s="48" t="str">
        <x:v>Logistics</x:v>
      </x:c>
      <x:c r="E7" s="48" t="str">
        <x:v>LinkedIn</x:v>
      </x:c>
      <x:c r="F7" s="48" t="str">
        <x:v>Nina</x:v>
      </x:c>
      <x:c r="G7" s="48" t="str">
        <x:v>New Lead</x:v>
      </x:c>
      <x:c r="H7" s="48" t="str">
        <x:v>Low</x:v>
      </x:c>
      <x:c r="I7" s="52" t="n">
        <x:v>45000</x:v>
      </x:c>
      <x:c r="J7" s="66" t="n">
        <x:v>46301</x:v>
      </x:c>
      <x:c r="K7" s="66" t="n">
        <x:v>46301</x:v>
      </x:c>
      <x:c r="L7" s="48" t="str">
        <x:f>IF(OR(G7="Won",G7="Lost"),"Closed",IF(K7&lt;TODAY(),"OVERDUE","On track"))</x:f>
        <x:v>OVERDUE</x:v>
      </x:c>
      <x:c r="M7" s="48" t="str">
        <x:v>Needs initial qualification call.</x:v>
      </x:c>
    </x:row>
    <x:row r="8">
      <x:c r="A8" s="48" t="str">
        <x:v>LEAD-004</x:v>
      </x:c>
      <x:c r="B8" s="48" t="str">
        <x:v>Dawnstar Packaging</x:v>
      </x:c>
      <x:c r="C8" s="48" t="str">
        <x:v>Sample Contact 04</x:v>
      </x:c>
      <x:c r="D8" s="48" t="str">
        <x:v>Hospitality</x:v>
      </x:c>
      <x:c r="E8" s="48" t="str">
        <x:v>Trade directory</x:v>
      </x:c>
      <x:c r="F8" s="48" t="str">
        <x:v>Asha</x:v>
      </x:c>
      <x:c r="G8" s="48" t="str">
        <x:v>New Lead</x:v>
      </x:c>
      <x:c r="H8" s="48" t="str">
        <x:v>High</x:v>
      </x:c>
      <x:c r="I8" s="52" t="n">
        <x:v>26000</x:v>
      </x:c>
      <x:c r="J8" s="66" t="n">
        <x:v>46300</x:v>
      </x:c>
      <x:c r="K8" s="66" t="n">
        <x:v>46302</x:v>
      </x:c>
      <x:c r="L8" s="48" t="str">
        <x:f>IF(OR(G8="Won",G8="Lost"),"Closed",IF(K8&lt;TODAY(),"OVERDUE","On track"))</x:f>
        <x:v>OVERDUE</x:v>
      </x:c>
      <x:c r="M8" s="48" t="str">
        <x:v>Needs initial qualification call.</x:v>
      </x:c>
    </x:row>
    <x:row r="9">
      <x:c r="A9" s="48" t="str">
        <x:v>LEAD-005</x:v>
      </x:c>
      <x:c r="B9" s="48" t="str">
        <x:v>Eastbay Furnishings</x:v>
      </x:c>
      <x:c r="C9" s="48" t="str">
        <x:v>Sample Contact 05</x:v>
      </x:c>
      <x:c r="D9" s="48" t="str">
        <x:v>Healthcare</x:v>
      </x:c>
      <x:c r="E9" s="48" t="str">
        <x:v>Inbound call</x:v>
      </x:c>
      <x:c r="F9" s="48" t="str">
        <x:v>Kabir</x:v>
      </x:c>
      <x:c r="G9" s="48" t="str">
        <x:v>New Lead</x:v>
      </x:c>
      <x:c r="H9" s="48" t="str">
        <x:v>Medium</x:v>
      </x:c>
      <x:c r="I9" s="52" t="n">
        <x:v>58000</x:v>
      </x:c>
      <x:c r="J9" s="66" t="n">
        <x:v>46299</x:v>
      </x:c>
      <x:c r="K9" s="66" t="n">
        <x:v>46303</x:v>
      </x:c>
      <x:c r="L9" s="48" t="str">
        <x:f>IF(OR(G9="Won",G9="Lost"),"Closed",IF(K9&lt;TODAY(),"OVERDUE","On track"))</x:f>
        <x:v>OVERDUE</x:v>
      </x:c>
      <x:c r="M9" s="48" t="str">
        <x:v>Needs initial qualification call.</x:v>
      </x:c>
    </x:row>
    <x:row r="10">
      <x:c r="A10" s="48" t="str">
        <x:v>LEAD-006</x:v>
      </x:c>
      <x:c r="B10" s="48" t="str">
        <x:v>Foxglove Retail Systems</x:v>
      </x:c>
      <x:c r="C10" s="48" t="str">
        <x:v>Sample Contact 06</x:v>
      </x:c>
      <x:c r="D10" s="48" t="str">
        <x:v>Professional services</x:v>
      </x:c>
      <x:c r="E10" s="48" t="str">
        <x:v>Website enquiry</x:v>
      </x:c>
      <x:c r="F10" s="48" t="str">
        <x:v>Nina</x:v>
      </x:c>
      <x:c r="G10" s="48" t="str">
        <x:v>New Lead</x:v>
      </x:c>
      <x:c r="H10" s="48" t="str">
        <x:v>High</x:v>
      </x:c>
      <x:c r="I10" s="52" t="n">
        <x:v>72000</x:v>
      </x:c>
      <x:c r="J10" s="66" t="n">
        <x:v>46298</x:v>
      </x:c>
      <x:c r="K10" s="66" t="n">
        <x:v>46304</x:v>
      </x:c>
      <x:c r="L10" s="48" t="str">
        <x:f>IF(OR(G10="Won",G10="Lost"),"Closed",IF(K10&lt;TODAY(),"OVERDUE","On track"))</x:f>
        <x:v>On track</x:v>
      </x:c>
      <x:c r="M10" s="48" t="str">
        <x:v>Needs initial qualification call.</x:v>
      </x:c>
    </x:row>
    <x:row r="11">
      <x:c r="A11" s="48" t="str">
        <x:v>LEAD-007</x:v>
      </x:c>
      <x:c r="B11" s="48" t="str">
        <x:v>GreenArc Services</x:v>
      </x:c>
      <x:c r="C11" s="48" t="str">
        <x:v>Sample Contact 07</x:v>
      </x:c>
      <x:c r="D11" s="48" t="str">
        <x:v>Manufacturing</x:v>
      </x:c>
      <x:c r="E11" s="48" t="str">
        <x:v>Referral</x:v>
      </x:c>
      <x:c r="F11" s="48" t="str">
        <x:v>Asha</x:v>
      </x:c>
      <x:c r="G11" s="48" t="str">
        <x:v>New Lead</x:v>
      </x:c>
      <x:c r="H11" s="48" t="str">
        <x:v>High</x:v>
      </x:c>
      <x:c r="I11" s="52" t="n">
        <x:v>39000</x:v>
      </x:c>
      <x:c r="J11" s="66" t="n">
        <x:v>46297</x:v>
      </x:c>
      <x:c r="K11" s="66" t="n">
        <x:v>46305</x:v>
      </x:c>
      <x:c r="L11" s="48" t="str">
        <x:f>IF(OR(G11="Won",G11="Lost"),"Closed",IF(K11&lt;TODAY(),"OVERDUE","On track"))</x:f>
        <x:v>On track</x:v>
      </x:c>
      <x:c r="M11" s="48" t="str">
        <x:v>Needs initial qualification call.</x:v>
      </x:c>
    </x:row>
    <x:row r="12">
      <x:c r="A12" s="48" t="str">
        <x:v>LEAD-008</x:v>
      </x:c>
      <x:c r="B12" s="48" t="str">
        <x:v>Harborlight Foods</x:v>
      </x:c>
      <x:c r="C12" s="48" t="str">
        <x:v>Sample Contact 08</x:v>
      </x:c>
      <x:c r="D12" s="48" t="str">
        <x:v>E-commerce</x:v>
      </x:c>
      <x:c r="E12" s="48" t="str">
        <x:v>LinkedIn</x:v>
      </x:c>
      <x:c r="F12" s="48" t="str">
        <x:v>Kabir</x:v>
      </x:c>
      <x:c r="G12" s="48" t="str">
        <x:v>New Lead</x:v>
      </x:c>
      <x:c r="H12" s="48" t="str">
        <x:v>Medium</x:v>
      </x:c>
      <x:c r="I12" s="52" t="n">
        <x:v>85000</x:v>
      </x:c>
      <x:c r="J12" s="66" t="n">
        <x:v>46296</x:v>
      </x:c>
      <x:c r="K12" s="66" t="n">
        <x:v>46306</x:v>
      </x:c>
      <x:c r="L12" s="48" t="str">
        <x:f>IF(OR(G12="Won",G12="Lost"),"Closed",IF(K12&lt;TODAY(),"OVERDUE","On track"))</x:f>
        <x:v>On track</x:v>
      </x:c>
      <x:c r="M12" s="48" t="str">
        <x:v>Needs initial qualification call.</x:v>
      </x:c>
    </x:row>
    <x:row r="13">
      <x:c r="A13" s="48" t="str">
        <x:v>LEAD-009</x:v>
      </x:c>
      <x:c r="B13" s="48" t="str">
        <x:v>IndigoWorks Studio</x:v>
      </x:c>
      <x:c r="C13" s="48" t="str">
        <x:v>Sample Contact 09</x:v>
      </x:c>
      <x:c r="D13" s="48" t="str">
        <x:v>Retail</x:v>
      </x:c>
      <x:c r="E13" s="48" t="str">
        <x:v>Trade directory</x:v>
      </x:c>
      <x:c r="F13" s="48" t="str">
        <x:v>Nina</x:v>
      </x:c>
      <x:c r="G13" s="48" t="str">
        <x:v>New Lead</x:v>
      </x:c>
      <x:c r="H13" s="48" t="str">
        <x:v>High</x:v>
      </x:c>
      <x:c r="I13" s="52" t="n">
        <x:v>54000</x:v>
      </x:c>
      <x:c r="J13" s="66" t="n">
        <x:v>46295</x:v>
      </x:c>
      <x:c r="K13" s="66" t="n">
        <x:v>46307</x:v>
      </x:c>
      <x:c r="L13" s="48" t="str">
        <x:f>IF(OR(G13="Won",G13="Lost"),"Closed",IF(K13&lt;TODAY(),"OVERDUE","On track"))</x:f>
        <x:v>On track</x:v>
      </x:c>
      <x:c r="M13" s="48" t="str">
        <x:v>Needs initial qualification call.</x:v>
      </x:c>
    </x:row>
    <x:row r="14">
      <x:c r="A14" s="48" t="str">
        <x:v>LEAD-010</x:v>
      </x:c>
      <x:c r="B14" s="48" t="str">
        <x:v>Juniper &amp; Co Trading</x:v>
      </x:c>
      <x:c r="C14" s="48" t="str">
        <x:v>Sample Contact 10</x:v>
      </x:c>
      <x:c r="D14" s="48" t="str">
        <x:v>Education</x:v>
      </x:c>
      <x:c r="E14" s="48" t="str">
        <x:v>Inbound call</x:v>
      </x:c>
      <x:c r="F14" s="48" t="str">
        <x:v>Asha</x:v>
      </x:c>
      <x:c r="G14" s="48" t="str">
        <x:v>New Lead</x:v>
      </x:c>
      <x:c r="H14" s="48" t="str">
        <x:v>High</x:v>
      </x:c>
      <x:c r="I14" s="52" t="n">
        <x:v>28000</x:v>
      </x:c>
      <x:c r="J14" s="66" t="n">
        <x:v>46303</x:v>
      </x:c>
      <x:c r="K14" s="66" t="n">
        <x:v>46308</x:v>
      </x:c>
      <x:c r="L14" s="48" t="str">
        <x:f>IF(OR(G14="Won",G14="Lost"),"Closed",IF(K14&lt;TODAY(),"OVERDUE","On track"))</x:f>
        <x:v>On track</x:v>
      </x:c>
      <x:c r="M14" s="48" t="str">
        <x:v>Needs initial qualification call.</x:v>
      </x:c>
    </x:row>
    <x:row r="15">
      <x:c r="A15" s="48" t="str">
        <x:v>LEAD-011</x:v>
      </x:c>
      <x:c r="B15" s="48" t="str">
        <x:v>KitePath Mobility</x:v>
      </x:c>
      <x:c r="C15" s="48" t="str">
        <x:v>Sample Contact 11</x:v>
      </x:c>
      <x:c r="D15" s="48" t="str">
        <x:v>Logistics</x:v>
      </x:c>
      <x:c r="E15" s="48" t="str">
        <x:v>Website enquiry</x:v>
      </x:c>
      <x:c r="F15" s="48" t="str">
        <x:v>Kabir</x:v>
      </x:c>
      <x:c r="G15" s="48" t="str">
        <x:v>Contacted</x:v>
      </x:c>
      <x:c r="H15" s="48" t="str">
        <x:v>Medium</x:v>
      </x:c>
      <x:c r="I15" s="52" t="n">
        <x:v>18000</x:v>
      </x:c>
      <x:c r="J15" s="66" t="n">
        <x:v>46302</x:v>
      </x:c>
      <x:c r="K15" s="66" t="n">
        <x:v>46309</x:v>
      </x:c>
      <x:c r="L15" s="48" t="str">
        <x:f>IF(OR(G15="Won",G15="Lost"),"Closed",IF(K15&lt;TODAY(),"OVERDUE","On track"))</x:f>
        <x:v>On track</x:v>
      </x:c>
      <x:c r="M15" s="48" t="str">
        <x:v>Initial contact completed; confirm needs and timing.</x:v>
      </x:c>
    </x:row>
    <x:row r="16">
      <x:c r="A16" s="48" t="str">
        <x:v>LEAD-012</x:v>
      </x:c>
      <x:c r="B16" s="48" t="str">
        <x:v>Lakeview Diagnostics</x:v>
      </x:c>
      <x:c r="C16" s="48" t="str">
        <x:v>Sample Contact 12</x:v>
      </x:c>
      <x:c r="D16" s="48" t="str">
        <x:v>Hospitality</x:v>
      </x:c>
      <x:c r="E16" s="48" t="str">
        <x:v>Referral</x:v>
      </x:c>
      <x:c r="F16" s="48" t="str">
        <x:v>Nina</x:v>
      </x:c>
      <x:c r="G16" s="48" t="str">
        <x:v>Contacted</x:v>
      </x:c>
      <x:c r="H16" s="48" t="str">
        <x:v>High</x:v>
      </x:c>
      <x:c r="I16" s="52" t="n">
        <x:v>32000</x:v>
      </x:c>
      <x:c r="J16" s="66" t="n">
        <x:v>46301</x:v>
      </x:c>
      <x:c r="K16" s="66" t="n">
        <x:v>46299</x:v>
      </x:c>
      <x:c r="L16" s="48" t="str">
        <x:f>IF(OR(G16="Won",G16="Lost"),"Closed",IF(K16&lt;TODAY(),"OVERDUE","On track"))</x:f>
        <x:v>OVERDUE</x:v>
      </x:c>
      <x:c r="M16" s="48" t="str">
        <x:v>Initial contact completed; confirm needs and timing.</x:v>
      </x:c>
    </x:row>
    <x:row r="17">
      <x:c r="A17" s="48" t="str">
        <x:v>LEAD-013</x:v>
      </x:c>
      <x:c r="B17" s="48" t="str">
        <x:v>MapleRoot Distributors</x:v>
      </x:c>
      <x:c r="C17" s="48" t="str">
        <x:v>Sample Contact 13</x:v>
      </x:c>
      <x:c r="D17" s="48" t="str">
        <x:v>Healthcare</x:v>
      </x:c>
      <x:c r="E17" s="48" t="str">
        <x:v>LinkedIn</x:v>
      </x:c>
      <x:c r="F17" s="48" t="str">
        <x:v>Asha</x:v>
      </x:c>
      <x:c r="G17" s="48" t="str">
        <x:v>Contacted</x:v>
      </x:c>
      <x:c r="H17" s="48" t="str">
        <x:v>High</x:v>
      </x:c>
      <x:c r="I17" s="52" t="n">
        <x:v>45000</x:v>
      </x:c>
      <x:c r="J17" s="66" t="n">
        <x:v>46300</x:v>
      </x:c>
      <x:c r="K17" s="66" t="n">
        <x:v>46300</x:v>
      </x:c>
      <x:c r="L17" s="48" t="str">
        <x:f>IF(OR(G17="Won",G17="Lost"),"Closed",IF(K17&lt;TODAY(),"OVERDUE","On track"))</x:f>
        <x:v>OVERDUE</x:v>
      </x:c>
      <x:c r="M17" s="48" t="str">
        <x:v>Initial contact completed; confirm needs and timing.</x:v>
      </x:c>
    </x:row>
    <x:row r="18">
      <x:c r="A18" s="48" t="str">
        <x:v>LEAD-014</x:v>
      </x:c>
      <x:c r="B18" s="48" t="str">
        <x:v>NorthGate Fitness</x:v>
      </x:c>
      <x:c r="C18" s="48" t="str">
        <x:v>Sample Contact 14</x:v>
      </x:c>
      <x:c r="D18" s="48" t="str">
        <x:v>Professional services</x:v>
      </x:c>
      <x:c r="E18" s="48" t="str">
        <x:v>Trade directory</x:v>
      </x:c>
      <x:c r="F18" s="48" t="str">
        <x:v>Kabir</x:v>
      </x:c>
      <x:c r="G18" s="48" t="str">
        <x:v>Contacted</x:v>
      </x:c>
      <x:c r="H18" s="48" t="str">
        <x:v>Medium</x:v>
      </x:c>
      <x:c r="I18" s="52" t="n">
        <x:v>26000</x:v>
      </x:c>
      <x:c r="J18" s="66" t="n">
        <x:v>46299</x:v>
      </x:c>
      <x:c r="K18" s="66" t="n">
        <x:v>46301</x:v>
      </x:c>
      <x:c r="L18" s="48" t="str">
        <x:f>IF(OR(G18="Won",G18="Lost"),"Closed",IF(K18&lt;TODAY(),"OVERDUE","On track"))</x:f>
        <x:v>OVERDUE</x:v>
      </x:c>
      <x:c r="M18" s="48" t="str">
        <x:v>Initial contact completed; confirm needs and timing.</x:v>
      </x:c>
    </x:row>
    <x:row r="19">
      <x:c r="A19" s="48" t="str">
        <x:v>LEAD-015</x:v>
      </x:c>
      <x:c r="B19" s="48" t="str">
        <x:v>OrbitEdge Software</x:v>
      </x:c>
      <x:c r="C19" s="48" t="str">
        <x:v>Sample Contact 15</x:v>
      </x:c>
      <x:c r="D19" s="48" t="str">
        <x:v>Manufacturing</x:v>
      </x:c>
      <x:c r="E19" s="48" t="str">
        <x:v>Inbound call</x:v>
      </x:c>
      <x:c r="F19" s="48" t="str">
        <x:v>Nina</x:v>
      </x:c>
      <x:c r="G19" s="48" t="str">
        <x:v>Contacted</x:v>
      </x:c>
      <x:c r="H19" s="48" t="str">
        <x:v>High</x:v>
      </x:c>
      <x:c r="I19" s="52" t="n">
        <x:v>58000</x:v>
      </x:c>
      <x:c r="J19" s="66" t="n">
        <x:v>46298</x:v>
      </x:c>
      <x:c r="K19" s="66" t="n">
        <x:v>46302</x:v>
      </x:c>
      <x:c r="L19" s="48" t="str">
        <x:f>IF(OR(G19="Won",G19="Lost"),"Closed",IF(K19&lt;TODAY(),"OVERDUE","On track"))</x:f>
        <x:v>OVERDUE</x:v>
      </x:c>
      <x:c r="M19" s="48" t="str">
        <x:v>Initial contact completed; confirm needs and timing.</x:v>
      </x:c>
    </x:row>
    <x:row r="20">
      <x:c r="A20" s="48" t="str">
        <x:v>LEAD-016</x:v>
      </x:c>
      <x:c r="B20" s="48" t="str">
        <x:v>PaperTrail Business Services</x:v>
      </x:c>
      <x:c r="C20" s="48" t="str">
        <x:v>Sample Contact 16</x:v>
      </x:c>
      <x:c r="D20" s="48" t="str">
        <x:v>E-commerce</x:v>
      </x:c>
      <x:c r="E20" s="48" t="str">
        <x:v>Website enquiry</x:v>
      </x:c>
      <x:c r="F20" s="48" t="str">
        <x:v>Asha</x:v>
      </x:c>
      <x:c r="G20" s="48" t="str">
        <x:v>Contacted</x:v>
      </x:c>
      <x:c r="H20" s="48" t="str">
        <x:v>High</x:v>
      </x:c>
      <x:c r="I20" s="52" t="n">
        <x:v>72000</x:v>
      </x:c>
      <x:c r="J20" s="66" t="n">
        <x:v>46297</x:v>
      </x:c>
      <x:c r="K20" s="66" t="n">
        <x:v>46303</x:v>
      </x:c>
      <x:c r="L20" s="48" t="str">
        <x:f>IF(OR(G20="Won",G20="Lost"),"Closed",IF(K20&lt;TODAY(),"OVERDUE","On track"))</x:f>
        <x:v>OVERDUE</x:v>
      </x:c>
      <x:c r="M20" s="48" t="str">
        <x:v>Initial contact completed; confirm needs and timing.</x:v>
      </x:c>
    </x:row>
    <x:row r="21">
      <x:c r="A21" s="48" t="str">
        <x:v>LEAD-017</x:v>
      </x:c>
      <x:c r="B21" s="48" t="str">
        <x:v>Quartzline Electronics</x:v>
      </x:c>
      <x:c r="C21" s="48" t="str">
        <x:v>Sample Contact 17</x:v>
      </x:c>
      <x:c r="D21" s="48" t="str">
        <x:v>Retail</x:v>
      </x:c>
      <x:c r="E21" s="48" t="str">
        <x:v>Referral</x:v>
      </x:c>
      <x:c r="F21" s="48" t="str">
        <x:v>Kabir</x:v>
      </x:c>
      <x:c r="G21" s="48" t="str">
        <x:v>Contacted</x:v>
      </x:c>
      <x:c r="H21" s="48" t="str">
        <x:v>Medium</x:v>
      </x:c>
      <x:c r="I21" s="52" t="n">
        <x:v>39000</x:v>
      </x:c>
      <x:c r="J21" s="66" t="n">
        <x:v>46296</x:v>
      </x:c>
      <x:c r="K21" s="66" t="n">
        <x:v>46304</x:v>
      </x:c>
      <x:c r="L21" s="48" t="str">
        <x:f>IF(OR(G21="Won",G21="Lost"),"Closed",IF(K21&lt;TODAY(),"OVERDUE","On track"))</x:f>
        <x:v>On track</x:v>
      </x:c>
      <x:c r="M21" s="48" t="str">
        <x:v>Initial contact completed; confirm needs and timing.</x:v>
      </x:c>
    </x:row>
    <x:row r="22">
      <x:c r="A22" s="48" t="str">
        <x:v>LEAD-018</x:v>
      </x:c>
      <x:c r="B22" s="48" t="str">
        <x:v>RedStone Hospitality</x:v>
      </x:c>
      <x:c r="C22" s="48" t="str">
        <x:v>Sample Contact 18</x:v>
      </x:c>
      <x:c r="D22" s="48" t="str">
        <x:v>Education</x:v>
      </x:c>
      <x:c r="E22" s="48" t="str">
        <x:v>LinkedIn</x:v>
      </x:c>
      <x:c r="F22" s="48" t="str">
        <x:v>Nina</x:v>
      </x:c>
      <x:c r="G22" s="48" t="str">
        <x:v>Contacted</x:v>
      </x:c>
      <x:c r="H22" s="48" t="str">
        <x:v>High</x:v>
      </x:c>
      <x:c r="I22" s="52" t="n">
        <x:v>85000</x:v>
      </x:c>
      <x:c r="J22" s="66" t="n">
        <x:v>46295</x:v>
      </x:c>
      <x:c r="K22" s="66" t="n">
        <x:v>46305</x:v>
      </x:c>
      <x:c r="L22" s="48" t="str">
        <x:f>IF(OR(G22="Won",G22="Lost"),"Closed",IF(K22&lt;TODAY(),"OVERDUE","On track"))</x:f>
        <x:v>On track</x:v>
      </x:c>
      <x:c r="M22" s="48" t="str">
        <x:v>Initial contact completed; confirm needs and timing.</x:v>
      </x:c>
    </x:row>
    <x:row r="23">
      <x:c r="A23" s="48" t="str">
        <x:v>LEAD-019</x:v>
      </x:c>
      <x:c r="B23" s="48" t="str">
        <x:v>SilverFern Textiles</x:v>
      </x:c>
      <x:c r="C23" s="48" t="str">
        <x:v>Sample Contact 19</x:v>
      </x:c>
      <x:c r="D23" s="48" t="str">
        <x:v>Logistics</x:v>
      </x:c>
      <x:c r="E23" s="48" t="str">
        <x:v>Trade directory</x:v>
      </x:c>
      <x:c r="F23" s="48" t="str">
        <x:v>Asha</x:v>
      </x:c>
      <x:c r="G23" s="48" t="str">
        <x:v>Contacted</x:v>
      </x:c>
      <x:c r="H23" s="48" t="str">
        <x:v>High</x:v>
      </x:c>
      <x:c r="I23" s="52" t="n">
        <x:v>54000</x:v>
      </x:c>
      <x:c r="J23" s="66" t="n">
        <x:v>46303</x:v>
      </x:c>
      <x:c r="K23" s="66" t="n">
        <x:v>46306</x:v>
      </x:c>
      <x:c r="L23" s="48" t="str">
        <x:f>IF(OR(G23="Won",G23="Lost"),"Closed",IF(K23&lt;TODAY(),"OVERDUE","On track"))</x:f>
        <x:v>On track</x:v>
      </x:c>
      <x:c r="M23" s="48" t="str">
        <x:v>Initial contact completed; confirm needs and timing.</x:v>
      </x:c>
    </x:row>
    <x:row r="24">
      <x:c r="A24" s="48" t="str">
        <x:v>LEAD-020</x:v>
      </x:c>
      <x:c r="B24" s="48" t="str">
        <x:v>Timberlane Interiors</x:v>
      </x:c>
      <x:c r="C24" s="48" t="str">
        <x:v>Sample Contact 20</x:v>
      </x:c>
      <x:c r="D24" s="48" t="str">
        <x:v>Hospitality</x:v>
      </x:c>
      <x:c r="E24" s="48" t="str">
        <x:v>Inbound call</x:v>
      </x:c>
      <x:c r="F24" s="48" t="str">
        <x:v>Kabir</x:v>
      </x:c>
      <x:c r="G24" s="48" t="str">
        <x:v>Contacted</x:v>
      </x:c>
      <x:c r="H24" s="48" t="str">
        <x:v>Medium</x:v>
      </x:c>
      <x:c r="I24" s="52" t="n">
        <x:v>28000</x:v>
      </x:c>
      <x:c r="J24" s="66" t="n">
        <x:v>46302</x:v>
      </x:c>
      <x:c r="K24" s="66" t="n">
        <x:v>46307</x:v>
      </x:c>
      <x:c r="L24" s="48" t="str">
        <x:f>IF(OR(G24="Won",G24="Lost"),"Closed",IF(K24&lt;TODAY(),"OVERDUE","On track"))</x:f>
        <x:v>On track</x:v>
      </x:c>
      <x:c r="M24" s="48" t="str">
        <x:v>Initial contact completed; confirm needs and timing.</x:v>
      </x:c>
    </x:row>
    <x:row r="25">
      <x:c r="A25" s="48" t="str">
        <x:v>LEAD-021</x:v>
      </x:c>
      <x:c r="B25" s="48" t="str">
        <x:v>UrbanNest Retail</x:v>
      </x:c>
      <x:c r="C25" s="48" t="str">
        <x:v>Sample Contact 21</x:v>
      </x:c>
      <x:c r="D25" s="48" t="str">
        <x:v>Healthcare</x:v>
      </x:c>
      <x:c r="E25" s="48" t="str">
        <x:v>Website enquiry</x:v>
      </x:c>
      <x:c r="F25" s="48" t="str">
        <x:v>Nina</x:v>
      </x:c>
      <x:c r="G25" s="48" t="str">
        <x:v>Contacted</x:v>
      </x:c>
      <x:c r="H25" s="48" t="str">
        <x:v>Low</x:v>
      </x:c>
      <x:c r="I25" s="52" t="n">
        <x:v>18000</x:v>
      </x:c>
      <x:c r="J25" s="66" t="n">
        <x:v>46301</x:v>
      </x:c>
      <x:c r="K25" s="66" t="n">
        <x:v>46308</x:v>
      </x:c>
      <x:c r="L25" s="48" t="str">
        <x:f>IF(OR(G25="Won",G25="Lost"),"Closed",IF(K25&lt;TODAY(),"OVERDUE","On track"))</x:f>
        <x:v>On track</x:v>
      </x:c>
      <x:c r="M25" s="48" t="str">
        <x:v>Initial contact completed; confirm needs and timing.</x:v>
      </x:c>
    </x:row>
    <x:row r="26">
      <x:c r="A26" s="48" t="str">
        <x:v>LEAD-022</x:v>
      </x:c>
      <x:c r="B26" s="48" t="str">
        <x:v>VistaBloom Events</x:v>
      </x:c>
      <x:c r="C26" s="48" t="str">
        <x:v>Sample Contact 22</x:v>
      </x:c>
      <x:c r="D26" s="48" t="str">
        <x:v>Professional services</x:v>
      </x:c>
      <x:c r="E26" s="48" t="str">
        <x:v>Referral</x:v>
      </x:c>
      <x:c r="F26" s="48" t="str">
        <x:v>Asha</x:v>
      </x:c>
      <x:c r="G26" s="48" t="str">
        <x:v>Qualified</x:v>
      </x:c>
      <x:c r="H26" s="48" t="str">
        <x:v>High</x:v>
      </x:c>
      <x:c r="I26" s="52" t="n">
        <x:v>32000</x:v>
      </x:c>
      <x:c r="J26" s="66" t="n">
        <x:v>46300</x:v>
      </x:c>
      <x:c r="K26" s="66" t="n">
        <x:v>46309</x:v>
      </x:c>
      <x:c r="L26" s="48" t="str">
        <x:f>IF(OR(G26="Won",G26="Lost"),"Closed",IF(K26&lt;TODAY(),"OVERDUE","On track"))</x:f>
        <x:v>On track</x:v>
      </x:c>
      <x:c r="M26" s="48" t="str">
        <x:v>Fit confirmed; next step is a discovery meeting.</x:v>
      </x:c>
    </x:row>
    <x:row r="27">
      <x:c r="A27" s="48" t="str">
        <x:v>LEAD-023</x:v>
      </x:c>
      <x:c r="B27" s="48" t="str">
        <x:v>Westmark Components</x:v>
      </x:c>
      <x:c r="C27" s="48" t="str">
        <x:v>Sample Contact 23</x:v>
      </x:c>
      <x:c r="D27" s="48" t="str">
        <x:v>Manufacturing</x:v>
      </x:c>
      <x:c r="E27" s="48" t="str">
        <x:v>LinkedIn</x:v>
      </x:c>
      <x:c r="F27" s="48" t="str">
        <x:v>Kabir</x:v>
      </x:c>
      <x:c r="G27" s="48" t="str">
        <x:v>Qualified</x:v>
      </x:c>
      <x:c r="H27" s="48" t="str">
        <x:v>High</x:v>
      </x:c>
      <x:c r="I27" s="52" t="n">
        <x:v>45000</x:v>
      </x:c>
      <x:c r="J27" s="66" t="n">
        <x:v>46299</x:v>
      </x:c>
      <x:c r="K27" s="66" t="n">
        <x:v>46299</x:v>
      </x:c>
      <x:c r="L27" s="48" t="str">
        <x:f>IF(OR(G27="Won",G27="Lost"),"Closed",IF(K27&lt;TODAY(),"OVERDUE","On track"))</x:f>
        <x:v>OVERDUE</x:v>
      </x:c>
      <x:c r="M27" s="48" t="str">
        <x:v>Fit confirmed; next step is a discovery meeting.</x:v>
      </x:c>
    </x:row>
    <x:row r="28">
      <x:c r="A28" s="48" t="str">
        <x:v>LEAD-024</x:v>
      </x:c>
      <x:c r="B28" s="48" t="str">
        <x:v>YellowBrick Education</x:v>
      </x:c>
      <x:c r="C28" s="48" t="str">
        <x:v>Sample Contact 24</x:v>
      </x:c>
      <x:c r="D28" s="48" t="str">
        <x:v>E-commerce</x:v>
      </x:c>
      <x:c r="E28" s="48" t="str">
        <x:v>Trade directory</x:v>
      </x:c>
      <x:c r="F28" s="48" t="str">
        <x:v>Nina</x:v>
      </x:c>
      <x:c r="G28" s="48" t="str">
        <x:v>Qualified</x:v>
      </x:c>
      <x:c r="H28" s="48" t="str">
        <x:v>Low</x:v>
      </x:c>
      <x:c r="I28" s="52" t="n">
        <x:v>26000</x:v>
      </x:c>
      <x:c r="J28" s="66" t="n">
        <x:v>46298</x:v>
      </x:c>
      <x:c r="K28" s="66" t="n">
        <x:v>46300</x:v>
      </x:c>
      <x:c r="L28" s="48" t="str">
        <x:f>IF(OR(G28="Won",G28="Lost"),"Closed",IF(K28&lt;TODAY(),"OVERDUE","On track"))</x:f>
        <x:v>OVERDUE</x:v>
      </x:c>
      <x:c r="M28" s="48" t="str">
        <x:v>Fit confirmed; next step is a discovery meeting.</x:v>
      </x:c>
    </x:row>
    <x:row r="29">
      <x:c r="A29" s="48" t="str">
        <x:v>LEAD-025</x:v>
      </x:c>
      <x:c r="B29" s="48" t="str">
        <x:v>ZenithRoute Couriers</x:v>
      </x:c>
      <x:c r="C29" s="48" t="str">
        <x:v>Sample Contact 25</x:v>
      </x:c>
      <x:c r="D29" s="48" t="str">
        <x:v>Retail</x:v>
      </x:c>
      <x:c r="E29" s="48" t="str">
        <x:v>Inbound call</x:v>
      </x:c>
      <x:c r="F29" s="48" t="str">
        <x:v>Asha</x:v>
      </x:c>
      <x:c r="G29" s="48" t="str">
        <x:v>Qualified</x:v>
      </x:c>
      <x:c r="H29" s="48" t="str">
        <x:v>High</x:v>
      </x:c>
      <x:c r="I29" s="52" t="n">
        <x:v>58000</x:v>
      </x:c>
      <x:c r="J29" s="66" t="n">
        <x:v>46297</x:v>
      </x:c>
      <x:c r="K29" s="66" t="n">
        <x:v>46301</x:v>
      </x:c>
      <x:c r="L29" s="48" t="str">
        <x:f>IF(OR(G29="Won",G29="Lost"),"Closed",IF(K29&lt;TODAY(),"OVERDUE","On track"))</x:f>
        <x:v>OVERDUE</x:v>
      </x:c>
      <x:c r="M29" s="48" t="str">
        <x:v>Fit confirmed; next step is a discovery meeting.</x:v>
      </x:c>
    </x:row>
    <x:row r="30">
      <x:c r="A30" s="48" t="str">
        <x:v>LEAD-026</x:v>
      </x:c>
      <x:c r="B30" s="48" t="str">
        <x:v>Alpine Desk Solutions</x:v>
      </x:c>
      <x:c r="C30" s="48" t="str">
        <x:v>Sample Contact 26</x:v>
      </x:c>
      <x:c r="D30" s="48" t="str">
        <x:v>Education</x:v>
      </x:c>
      <x:c r="E30" s="48" t="str">
        <x:v>Website enquiry</x:v>
      </x:c>
      <x:c r="F30" s="48" t="str">
        <x:v>Kabir</x:v>
      </x:c>
      <x:c r="G30" s="48" t="str">
        <x:v>Qualified</x:v>
      </x:c>
      <x:c r="H30" s="48" t="str">
        <x:v>Medium</x:v>
      </x:c>
      <x:c r="I30" s="52" t="n">
        <x:v>72000</x:v>
      </x:c>
      <x:c r="J30" s="66" t="n">
        <x:v>46296</x:v>
      </x:c>
      <x:c r="K30" s="66" t="n">
        <x:v>46302</x:v>
      </x:c>
      <x:c r="L30" s="48" t="str">
        <x:f>IF(OR(G30="Won",G30="Lost"),"Closed",IF(K30&lt;TODAY(),"OVERDUE","On track"))</x:f>
        <x:v>OVERDUE</x:v>
      </x:c>
      <x:c r="M30" s="48" t="str">
        <x:v>Fit confirmed; next step is a discovery meeting.</x:v>
      </x:c>
    </x:row>
    <x:row r="31">
      <x:c r="A31" s="48" t="str">
        <x:v>LEAD-027</x:v>
      </x:c>
      <x:c r="B31" s="48" t="str">
        <x:v>BrightMint Wellness</x:v>
      </x:c>
      <x:c r="C31" s="48" t="str">
        <x:v>Sample Contact 27</x:v>
      </x:c>
      <x:c r="D31" s="48" t="str">
        <x:v>Logistics</x:v>
      </x:c>
      <x:c r="E31" s="48" t="str">
        <x:v>Referral</x:v>
      </x:c>
      <x:c r="F31" s="48" t="str">
        <x:v>Nina</x:v>
      </x:c>
      <x:c r="G31" s="48" t="str">
        <x:v>Qualified</x:v>
      </x:c>
      <x:c r="H31" s="48" t="str">
        <x:v>High</x:v>
      </x:c>
      <x:c r="I31" s="52" t="n">
        <x:v>39000</x:v>
      </x:c>
      <x:c r="J31" s="66" t="n">
        <x:v>46295</x:v>
      </x:c>
      <x:c r="K31" s="66" t="n">
        <x:v>46303</x:v>
      </x:c>
      <x:c r="L31" s="48" t="str">
        <x:f>IF(OR(G31="Won",G31="Lost"),"Closed",IF(K31&lt;TODAY(),"OVERDUE","On track"))</x:f>
        <x:v>OVERDUE</x:v>
      </x:c>
      <x:c r="M31" s="48" t="str">
        <x:v>Fit confirmed; next step is a discovery meeting.</x:v>
      </x:c>
    </x:row>
    <x:row r="32">
      <x:c r="A32" s="48" t="str">
        <x:v>LEAD-028</x:v>
      </x:c>
      <x:c r="B32" s="48" t="str">
        <x:v>CobaltCart Commerce</x:v>
      </x:c>
      <x:c r="C32" s="48" t="str">
        <x:v>Sample Contact 28</x:v>
      </x:c>
      <x:c r="D32" s="48" t="str">
        <x:v>Hospitality</x:v>
      </x:c>
      <x:c r="E32" s="48" t="str">
        <x:v>LinkedIn</x:v>
      </x:c>
      <x:c r="F32" s="48" t="str">
        <x:v>Asha</x:v>
      </x:c>
      <x:c r="G32" s="48" t="str">
        <x:v>Qualified</x:v>
      </x:c>
      <x:c r="H32" s="48" t="str">
        <x:v>High</x:v>
      </x:c>
      <x:c r="I32" s="52" t="n">
        <x:v>85000</x:v>
      </x:c>
      <x:c r="J32" s="66" t="n">
        <x:v>46303</x:v>
      </x:c>
      <x:c r="K32" s="66" t="n">
        <x:v>46304</x:v>
      </x:c>
      <x:c r="L32" s="48" t="str">
        <x:f>IF(OR(G32="Won",G32="Lost"),"Closed",IF(K32&lt;TODAY(),"OVERDUE","On track"))</x:f>
        <x:v>On track</x:v>
      </x:c>
      <x:c r="M32" s="48" t="str">
        <x:v>Fit confirmed; next step is a discovery meeting.</x:v>
      </x:c>
    </x:row>
    <x:row r="33">
      <x:c r="A33" s="48" t="str">
        <x:v>LEAD-029</x:v>
      </x:c>
      <x:c r="B33" s="48" t="str">
        <x:v>Driftwood Media</x:v>
      </x:c>
      <x:c r="C33" s="48" t="str">
        <x:v>Sample Contact 29</x:v>
      </x:c>
      <x:c r="D33" s="48" t="str">
        <x:v>Healthcare</x:v>
      </x:c>
      <x:c r="E33" s="48" t="str">
        <x:v>Trade directory</x:v>
      </x:c>
      <x:c r="F33" s="48" t="str">
        <x:v>Kabir</x:v>
      </x:c>
      <x:c r="G33" s="48" t="str">
        <x:v>Qualified</x:v>
      </x:c>
      <x:c r="H33" s="48" t="str">
        <x:v>Medium</x:v>
      </x:c>
      <x:c r="I33" s="52" t="n">
        <x:v>54000</x:v>
      </x:c>
      <x:c r="J33" s="66" t="n">
        <x:v>46302</x:v>
      </x:c>
      <x:c r="K33" s="66" t="n">
        <x:v>46305</x:v>
      </x:c>
      <x:c r="L33" s="48" t="str">
        <x:f>IF(OR(G33="Won",G33="Lost"),"Closed",IF(K33&lt;TODAY(),"OVERDUE","On track"))</x:f>
        <x:v>On track</x:v>
      </x:c>
      <x:c r="M33" s="48" t="str">
        <x:v>Fit confirmed; next step is a discovery meeting.</x:v>
      </x:c>
    </x:row>
    <x:row r="34">
      <x:c r="A34" s="48" t="str">
        <x:v>LEAD-030</x:v>
      </x:c>
      <x:c r="B34" s="48" t="str">
        <x:v>Everlane Industrial</x:v>
      </x:c>
      <x:c r="C34" s="48" t="str">
        <x:v>Sample Contact 30</x:v>
      </x:c>
      <x:c r="D34" s="48" t="str">
        <x:v>Professional services</x:v>
      </x:c>
      <x:c r="E34" s="48" t="str">
        <x:v>Inbound call</x:v>
      </x:c>
      <x:c r="F34" s="48" t="str">
        <x:v>Nina</x:v>
      </x:c>
      <x:c r="G34" s="48" t="str">
        <x:v>Qualified</x:v>
      </x:c>
      <x:c r="H34" s="48" t="str">
        <x:v>Low</x:v>
      </x:c>
      <x:c r="I34" s="52" t="n">
        <x:v>28000</x:v>
      </x:c>
      <x:c r="J34" s="66" t="n">
        <x:v>46301</x:v>
      </x:c>
      <x:c r="K34" s="66" t="n">
        <x:v>46306</x:v>
      </x:c>
      <x:c r="L34" s="48" t="str">
        <x:f>IF(OR(G34="Won",G34="Lost"),"Closed",IF(K34&lt;TODAY(),"OVERDUE","On track"))</x:f>
        <x:v>On track</x:v>
      </x:c>
      <x:c r="M34" s="48" t="str">
        <x:v>Fit confirmed; next step is a discovery meeting.</x:v>
      </x:c>
    </x:row>
    <x:row r="35">
      <x:c r="A35" s="48" t="str">
        <x:v>LEAD-031</x:v>
      </x:c>
      <x:c r="B35" s="48" t="str">
        <x:v>Fieldstone Safety</x:v>
      </x:c>
      <x:c r="C35" s="48" t="str">
        <x:v>Sample Contact 31</x:v>
      </x:c>
      <x:c r="D35" s="48" t="str">
        <x:v>Manufacturing</x:v>
      </x:c>
      <x:c r="E35" s="48" t="str">
        <x:v>Website enquiry</x:v>
      </x:c>
      <x:c r="F35" s="48" t="str">
        <x:v>Asha</x:v>
      </x:c>
      <x:c r="G35" s="48" t="str">
        <x:v>Meeting Booked</x:v>
      </x:c>
      <x:c r="H35" s="48" t="str">
        <x:v>High</x:v>
      </x:c>
      <x:c r="I35" s="52" t="n">
        <x:v>18000</x:v>
      </x:c>
      <x:c r="J35" s="66" t="n">
        <x:v>46300</x:v>
      </x:c>
      <x:c r="K35" s="66" t="n">
        <x:v>46307</x:v>
      </x:c>
      <x:c r="L35" s="48" t="str">
        <x:f>IF(OR(G35="Won",G35="Lost"),"Closed",IF(K35&lt;TODAY(),"OVERDUE","On track"))</x:f>
        <x:v>On track</x:v>
      </x:c>
      <x:c r="M35" s="48" t="str">
        <x:v>Prepare tailored questions and demo outline.</x:v>
      </x:c>
    </x:row>
    <x:row r="36">
      <x:c r="A36" s="48" t="str">
        <x:v>LEAD-032</x:v>
      </x:c>
      <x:c r="B36" s="48" t="str">
        <x:v>GoldenHour Kitchens</x:v>
      </x:c>
      <x:c r="C36" s="48" t="str">
        <x:v>Sample Contact 32</x:v>
      </x:c>
      <x:c r="D36" s="48" t="str">
        <x:v>E-commerce</x:v>
      </x:c>
      <x:c r="E36" s="48" t="str">
        <x:v>Referral</x:v>
      </x:c>
      <x:c r="F36" s="48" t="str">
        <x:v>Kabir</x:v>
      </x:c>
      <x:c r="G36" s="48" t="str">
        <x:v>Meeting Booked</x:v>
      </x:c>
      <x:c r="H36" s="48" t="str">
        <x:v>High</x:v>
      </x:c>
      <x:c r="I36" s="52" t="n">
        <x:v>32000</x:v>
      </x:c>
      <x:c r="J36" s="66" t="n">
        <x:v>46299</x:v>
      </x:c>
      <x:c r="K36" s="66" t="n">
        <x:v>46308</x:v>
      </x:c>
      <x:c r="L36" s="48" t="str">
        <x:f>IF(OR(G36="Won",G36="Lost"),"Closed",IF(K36&lt;TODAY(),"OVERDUE","On track"))</x:f>
        <x:v>On track</x:v>
      </x:c>
      <x:c r="M36" s="48" t="str">
        <x:v>Prepare tailored questions and demo outline.</x:v>
      </x:c>
    </x:row>
    <x:row r="37">
      <x:c r="A37" s="48" t="str">
        <x:v>LEAD-033</x:v>
      </x:c>
      <x:c r="B37" s="48" t="str">
        <x:v>Highland Stationery</x:v>
      </x:c>
      <x:c r="C37" s="48" t="str">
        <x:v>Sample Contact 33</x:v>
      </x:c>
      <x:c r="D37" s="48" t="str">
        <x:v>Retail</x:v>
      </x:c>
      <x:c r="E37" s="48" t="str">
        <x:v>LinkedIn</x:v>
      </x:c>
      <x:c r="F37" s="48" t="str">
        <x:v>Nina</x:v>
      </x:c>
      <x:c r="G37" s="48" t="str">
        <x:v>Meeting Booked</x:v>
      </x:c>
      <x:c r="H37" s="48" t="str">
        <x:v>Low</x:v>
      </x:c>
      <x:c r="I37" s="52" t="n">
        <x:v>45000</x:v>
      </x:c>
      <x:c r="J37" s="66" t="n">
        <x:v>46298</x:v>
      </x:c>
      <x:c r="K37" s="66" t="n">
        <x:v>46309</x:v>
      </x:c>
      <x:c r="L37" s="48" t="str">
        <x:f>IF(OR(G37="Won",G37="Lost"),"Closed",IF(K37&lt;TODAY(),"OVERDUE","On track"))</x:f>
        <x:v>On track</x:v>
      </x:c>
      <x:c r="M37" s="48" t="str">
        <x:v>Prepare tailored questions and demo outline.</x:v>
      </x:c>
    </x:row>
    <x:row r="38">
      <x:c r="A38" s="48" t="str">
        <x:v>LEAD-034</x:v>
      </x:c>
      <x:c r="B38" s="48" t="str">
        <x:v>IvoryLane Apparel</x:v>
      </x:c>
      <x:c r="C38" s="48" t="str">
        <x:v>Sample Contact 34</x:v>
      </x:c>
      <x:c r="D38" s="48" t="str">
        <x:v>Education</x:v>
      </x:c>
      <x:c r="E38" s="48" t="str">
        <x:v>Trade directory</x:v>
      </x:c>
      <x:c r="F38" s="48" t="str">
        <x:v>Asha</x:v>
      </x:c>
      <x:c r="G38" s="48" t="str">
        <x:v>Meeting Booked</x:v>
      </x:c>
      <x:c r="H38" s="48" t="str">
        <x:v>High</x:v>
      </x:c>
      <x:c r="I38" s="52" t="n">
        <x:v>26000</x:v>
      </x:c>
      <x:c r="J38" s="66" t="n">
        <x:v>46297</x:v>
      </x:c>
      <x:c r="K38" s="66" t="n">
        <x:v>46299</x:v>
      </x:c>
      <x:c r="L38" s="48" t="str">
        <x:f>IF(OR(G38="Won",G38="Lost"),"Closed",IF(K38&lt;TODAY(),"OVERDUE","On track"))</x:f>
        <x:v>OVERDUE</x:v>
      </x:c>
      <x:c r="M38" s="48" t="str">
        <x:v>Prepare tailored questions and demo outline.</x:v>
      </x:c>
    </x:row>
    <x:row r="39">
      <x:c r="A39" s="48" t="str">
        <x:v>LEAD-035</x:v>
      </x:c>
      <x:c r="B39" s="48" t="str">
        <x:v>JadeRiver Consulting</x:v>
      </x:c>
      <x:c r="C39" s="48" t="str">
        <x:v>Sample Contact 35</x:v>
      </x:c>
      <x:c r="D39" s="48" t="str">
        <x:v>Logistics</x:v>
      </x:c>
      <x:c r="E39" s="48" t="str">
        <x:v>Inbound call</x:v>
      </x:c>
      <x:c r="F39" s="48" t="str">
        <x:v>Kabir</x:v>
      </x:c>
      <x:c r="G39" s="48" t="str">
        <x:v>Meeting Booked</x:v>
      </x:c>
      <x:c r="H39" s="48" t="str">
        <x:v>Medium</x:v>
      </x:c>
      <x:c r="I39" s="52" t="n">
        <x:v>58000</x:v>
      </x:c>
      <x:c r="J39" s="66" t="n">
        <x:v>46296</x:v>
      </x:c>
      <x:c r="K39" s="66" t="n">
        <x:v>46300</x:v>
      </x:c>
      <x:c r="L39" s="48" t="str">
        <x:f>IF(OR(G39="Won",G39="Lost"),"Closed",IF(K39&lt;TODAY(),"OVERDUE","On track"))</x:f>
        <x:v>OVERDUE</x:v>
      </x:c>
      <x:c r="M39" s="48" t="str">
        <x:v>Prepare tailored questions and demo outline.</x:v>
      </x:c>
    </x:row>
    <x:row r="40">
      <x:c r="A40" s="48" t="str">
        <x:v>LEAD-036</x:v>
      </x:c>
      <x:c r="B40" s="48" t="str">
        <x:v>Keyline Medical Supplies</x:v>
      </x:c>
      <x:c r="C40" s="48" t="str">
        <x:v>Sample Contact 36</x:v>
      </x:c>
      <x:c r="D40" s="48" t="str">
        <x:v>Hospitality</x:v>
      </x:c>
      <x:c r="E40" s="48" t="str">
        <x:v>Website enquiry</x:v>
      </x:c>
      <x:c r="F40" s="48" t="str">
        <x:v>Nina</x:v>
      </x:c>
      <x:c r="G40" s="48" t="str">
        <x:v>Meeting Booked</x:v>
      </x:c>
      <x:c r="H40" s="48" t="str">
        <x:v>Low</x:v>
      </x:c>
      <x:c r="I40" s="52" t="n">
        <x:v>72000</x:v>
      </x:c>
      <x:c r="J40" s="66" t="n">
        <x:v>46295</x:v>
      </x:c>
      <x:c r="K40" s="66" t="n">
        <x:v>46301</x:v>
      </x:c>
      <x:c r="L40" s="48" t="str">
        <x:f>IF(OR(G40="Won",G40="Lost"),"Closed",IF(K40&lt;TODAY(),"OVERDUE","On track"))</x:f>
        <x:v>OVERDUE</x:v>
      </x:c>
      <x:c r="M40" s="48" t="str">
        <x:v>Prepare tailored questions and demo outline.</x:v>
      </x:c>
    </x:row>
    <x:row r="41">
      <x:c r="A41" s="48" t="str">
        <x:v>LEAD-037</x:v>
      </x:c>
      <x:c r="B41" s="48" t="str">
        <x:v>LumenLeaf Organics</x:v>
      </x:c>
      <x:c r="C41" s="48" t="str">
        <x:v>Sample Contact 37</x:v>
      </x:c>
      <x:c r="D41" s="48" t="str">
        <x:v>Healthcare</x:v>
      </x:c>
      <x:c r="E41" s="48" t="str">
        <x:v>Referral</x:v>
      </x:c>
      <x:c r="F41" s="48" t="str">
        <x:v>Asha</x:v>
      </x:c>
      <x:c r="G41" s="48" t="str">
        <x:v>Meeting Booked</x:v>
      </x:c>
      <x:c r="H41" s="48" t="str">
        <x:v>High</x:v>
      </x:c>
      <x:c r="I41" s="52" t="n">
        <x:v>39000</x:v>
      </x:c>
      <x:c r="J41" s="66" t="n">
        <x:v>46303</x:v>
      </x:c>
      <x:c r="K41" s="66" t="n">
        <x:v>46302</x:v>
      </x:c>
      <x:c r="L41" s="48" t="str">
        <x:f>IF(OR(G41="Won",G41="Lost"),"Closed",IF(K41&lt;TODAY(),"OVERDUE","On track"))</x:f>
        <x:v>OVERDUE</x:v>
      </x:c>
      <x:c r="M41" s="48" t="str">
        <x:v>Prepare tailored questions and demo outline.</x:v>
      </x:c>
    </x:row>
    <x:row r="42">
      <x:c r="A42" s="48" t="str">
        <x:v>LEAD-038</x:v>
      </x:c>
      <x:c r="B42" s="48" t="str">
        <x:v>MeadowRun Housing</x:v>
      </x:c>
      <x:c r="C42" s="48" t="str">
        <x:v>Sample Contact 38</x:v>
      </x:c>
      <x:c r="D42" s="48" t="str">
        <x:v>Professional services</x:v>
      </x:c>
      <x:c r="E42" s="48" t="str">
        <x:v>LinkedIn</x:v>
      </x:c>
      <x:c r="F42" s="48" t="str">
        <x:v>Kabir</x:v>
      </x:c>
      <x:c r="G42" s="48" t="str">
        <x:v>Proposal Sent</x:v>
      </x:c>
      <x:c r="H42" s="48" t="str">
        <x:v>High</x:v>
      </x:c>
      <x:c r="I42" s="52" t="n">
        <x:v>85000</x:v>
      </x:c>
      <x:c r="J42" s="66" t="n">
        <x:v>46302</x:v>
      </x:c>
      <x:c r="K42" s="66" t="n">
        <x:v>46303</x:v>
      </x:c>
      <x:c r="L42" s="48" t="str">
        <x:f>IF(OR(G42="Won",G42="Lost"),"Closed",IF(K42&lt;TODAY(),"OVERDUE","On track"))</x:f>
        <x:v>OVERDUE</x:v>
      </x:c>
      <x:c r="M42" s="48" t="str">
        <x:v>Follow up on proposal questions and decision date.</x:v>
      </x:c>
    </x:row>
    <x:row r="43">
      <x:c r="A43" s="48" t="str">
        <x:v>LEAD-039</x:v>
      </x:c>
      <x:c r="B43" s="48" t="str">
        <x:v>NovaForge Tools</x:v>
      </x:c>
      <x:c r="C43" s="48" t="str">
        <x:v>Sample Contact 39</x:v>
      </x:c>
      <x:c r="D43" s="48" t="str">
        <x:v>Manufacturing</x:v>
      </x:c>
      <x:c r="E43" s="48" t="str">
        <x:v>Trade directory</x:v>
      </x:c>
      <x:c r="F43" s="48" t="str">
        <x:v>Nina</x:v>
      </x:c>
      <x:c r="G43" s="48" t="str">
        <x:v>Proposal Sent</x:v>
      </x:c>
      <x:c r="H43" s="48" t="str">
        <x:v>Low</x:v>
      </x:c>
      <x:c r="I43" s="52" t="n">
        <x:v>54000</x:v>
      </x:c>
      <x:c r="J43" s="66" t="n">
        <x:v>46301</x:v>
      </x:c>
      <x:c r="K43" s="66" t="n">
        <x:v>46304</x:v>
      </x:c>
      <x:c r="L43" s="48" t="str">
        <x:f>IF(OR(G43="Won",G43="Lost"),"Closed",IF(K43&lt;TODAY(),"OVERDUE","On track"))</x:f>
        <x:v>On track</x:v>
      </x:c>
      <x:c r="M43" s="48" t="str">
        <x:v>Follow up on proposal questions and decision date.</x:v>
      </x:c>
    </x:row>
    <x:row r="44">
      <x:c r="A44" s="48" t="str">
        <x:v>LEAD-040</x:v>
      </x:c>
      <x:c r="B44" s="48" t="str">
        <x:v>Oakwell Facilities</x:v>
      </x:c>
      <x:c r="C44" s="48" t="str">
        <x:v>Sample Contact 40</x:v>
      </x:c>
      <x:c r="D44" s="48" t="str">
        <x:v>E-commerce</x:v>
      </x:c>
      <x:c r="E44" s="48" t="str">
        <x:v>Inbound call</x:v>
      </x:c>
      <x:c r="F44" s="48" t="str">
        <x:v>Asha</x:v>
      </x:c>
      <x:c r="G44" s="48" t="str">
        <x:v>Proposal Sent</x:v>
      </x:c>
      <x:c r="H44" s="48" t="str">
        <x:v>High</x:v>
      </x:c>
      <x:c r="I44" s="52" t="n">
        <x:v>28000</x:v>
      </x:c>
      <x:c r="J44" s="66" t="n">
        <x:v>46300</x:v>
      </x:c>
      <x:c r="K44" s="66" t="n">
        <x:v>46305</x:v>
      </x:c>
      <x:c r="L44" s="48" t="str">
        <x:f>IF(OR(G44="Won",G44="Lost"),"Closed",IF(K44&lt;TODAY(),"OVERDUE","On track"))</x:f>
        <x:v>On track</x:v>
      </x:c>
      <x:c r="M44" s="48" t="str">
        <x:v>Follow up on proposal questions and decision date.</x:v>
      </x:c>
    </x:row>
    <x:row r="45">
      <x:c r="A45" s="48" t="str">
        <x:v>LEAD-041</x:v>
      </x:c>
      <x:c r="B45" s="48" t="str">
        <x:v>Parkside Printworks</x:v>
      </x:c>
      <x:c r="C45" s="48" t="str">
        <x:v>Sample Contact 41</x:v>
      </x:c>
      <x:c r="D45" s="48" t="str">
        <x:v>Retail</x:v>
      </x:c>
      <x:c r="E45" s="48" t="str">
        <x:v>Website enquiry</x:v>
      </x:c>
      <x:c r="F45" s="48" t="str">
        <x:v>Kabir</x:v>
      </x:c>
      <x:c r="G45" s="48" t="str">
        <x:v>Proposal Sent</x:v>
      </x:c>
      <x:c r="H45" s="48" t="str">
        <x:v>Medium</x:v>
      </x:c>
      <x:c r="I45" s="52" t="n">
        <x:v>18000</x:v>
      </x:c>
      <x:c r="J45" s="66" t="n">
        <x:v>46299</x:v>
      </x:c>
      <x:c r="K45" s="66" t="n">
        <x:v>46306</x:v>
      </x:c>
      <x:c r="L45" s="48" t="str">
        <x:f>IF(OR(G45="Won",G45="Lost"),"Closed",IF(K45&lt;TODAY(),"OVERDUE","On track"))</x:f>
        <x:v>On track</x:v>
      </x:c>
      <x:c r="M45" s="48" t="str">
        <x:v>Follow up on proposal questions and decision date.</x:v>
      </x:c>
    </x:row>
    <x:row r="46">
      <x:c r="A46" s="48" t="str">
        <x:v>LEAD-042</x:v>
      </x:c>
      <x:c r="B46" s="48" t="str">
        <x:v>QuickHarbor Freight</x:v>
      </x:c>
      <x:c r="C46" s="48" t="str">
        <x:v>Sample Contact 42</x:v>
      </x:c>
      <x:c r="D46" s="48" t="str">
        <x:v>Education</x:v>
      </x:c>
      <x:c r="E46" s="48" t="str">
        <x:v>Referral</x:v>
      </x:c>
      <x:c r="F46" s="48" t="str">
        <x:v>Nina</x:v>
      </x:c>
      <x:c r="G46" s="48" t="str">
        <x:v>Proposal Sent</x:v>
      </x:c>
      <x:c r="H46" s="48" t="str">
        <x:v>Low</x:v>
      </x:c>
      <x:c r="I46" s="52" t="n">
        <x:v>32000</x:v>
      </x:c>
      <x:c r="J46" s="66" t="n">
        <x:v>46298</x:v>
      </x:c>
      <x:c r="K46" s="66" t="n">
        <x:v>46307</x:v>
      </x:c>
      <x:c r="L46" s="48" t="str">
        <x:f>IF(OR(G46="Won",G46="Lost"),"Closed",IF(K46&lt;TODAY(),"OVERDUE","On track"))</x:f>
        <x:v>On track</x:v>
      </x:c>
      <x:c r="M46" s="48" t="str">
        <x:v>Follow up on proposal questions and decision date.</x:v>
      </x:c>
    </x:row>
    <x:row r="47">
      <x:c r="A47" s="48" t="str">
        <x:v>LEAD-043</x:v>
      </x:c>
      <x:c r="B47" s="48" t="str">
        <x:v>Riverbend Packaging</x:v>
      </x:c>
      <x:c r="C47" s="48" t="str">
        <x:v>Sample Contact 43</x:v>
      </x:c>
      <x:c r="D47" s="48" t="str">
        <x:v>Logistics</x:v>
      </x:c>
      <x:c r="E47" s="48" t="str">
        <x:v>LinkedIn</x:v>
      </x:c>
      <x:c r="F47" s="48" t="str">
        <x:v>Asha</x:v>
      </x:c>
      <x:c r="G47" s="48" t="str">
        <x:v>Proposal Sent</x:v>
      </x:c>
      <x:c r="H47" s="48" t="str">
        <x:v>High</x:v>
      </x:c>
      <x:c r="I47" s="52" t="n">
        <x:v>45000</x:v>
      </x:c>
      <x:c r="J47" s="66" t="n">
        <x:v>46297</x:v>
      </x:c>
      <x:c r="K47" s="66" t="n">
        <x:v>46308</x:v>
      </x:c>
      <x:c r="L47" s="48" t="str">
        <x:f>IF(OR(G47="Won",G47="Lost"),"Closed",IF(K47&lt;TODAY(),"OVERDUE","On track"))</x:f>
        <x:v>On track</x:v>
      </x:c>
      <x:c r="M47" s="48" t="str">
        <x:v>Follow up on proposal questions and decision date.</x:v>
      </x:c>
    </x:row>
    <x:row r="48">
      <x:c r="A48" s="48" t="str">
        <x:v>LEAD-044</x:v>
      </x:c>
      <x:c r="B48" s="48" t="str">
        <x:v>Skyward Training</x:v>
      </x:c>
      <x:c r="C48" s="48" t="str">
        <x:v>Sample Contact 44</x:v>
      </x:c>
      <x:c r="D48" s="48" t="str">
        <x:v>Hospitality</x:v>
      </x:c>
      <x:c r="E48" s="48" t="str">
        <x:v>Trade directory</x:v>
      </x:c>
      <x:c r="F48" s="48" t="str">
        <x:v>Kabir</x:v>
      </x:c>
      <x:c r="G48" s="48" t="str">
        <x:v>Won</x:v>
      </x:c>
      <x:c r="H48" s="48" t="str">
        <x:v>Medium</x:v>
      </x:c>
      <x:c r="I48" s="52" t="n">
        <x:v>26000</x:v>
      </x:c>
      <x:c r="J48" s="66" t="n">
        <x:v>46296</x:v>
      </x:c>
      <x:c r="K48" s="66" t="n">
        <x:v>46309</x:v>
      </x:c>
      <x:c r="L48" s="48" t="str">
        <x:f>IF(OR(G48="Won",G48="Lost"),"Closed",IF(K48&lt;TODAY(),"OVERDUE","On track"))</x:f>
        <x:v>Closed</x:v>
      </x:c>
      <x:c r="M48" s="48" t="str">
        <x:v>Deal marked won in sample dataset.</x:v>
      </x:c>
    </x:row>
    <x:row r="49">
      <x:c r="A49" s="48" t="str">
        <x:v>LEAD-045</x:v>
      </x:c>
      <x:c r="B49" s="48" t="str">
        <x:v>TopazPoint Finance</x:v>
      </x:c>
      <x:c r="C49" s="48" t="str">
        <x:v>Sample Contact 45</x:v>
      </x:c>
      <x:c r="D49" s="48" t="str">
        <x:v>Healthcare</x:v>
      </x:c>
      <x:c r="E49" s="48" t="str">
        <x:v>Inbound call</x:v>
      </x:c>
      <x:c r="F49" s="48" t="str">
        <x:v>Nina</x:v>
      </x:c>
      <x:c r="G49" s="48" t="str">
        <x:v>Won</x:v>
      </x:c>
      <x:c r="H49" s="48" t="str">
        <x:v>High</x:v>
      </x:c>
      <x:c r="I49" s="52" t="n">
        <x:v>58000</x:v>
      </x:c>
      <x:c r="J49" s="66" t="n">
        <x:v>46295</x:v>
      </x:c>
      <x:c r="K49" s="66" t="n">
        <x:v>46299</x:v>
      </x:c>
      <x:c r="L49" s="48" t="str">
        <x:f>IF(OR(G49="Won",G49="Lost"),"Closed",IF(K49&lt;TODAY(),"OVERDUE","On track"))</x:f>
        <x:v>Closed</x:v>
      </x:c>
      <x:c r="M49" s="48" t="str">
        <x:v>Deal marked won in sample dataset.</x:v>
      </x:c>
    </x:row>
    <x:row r="50">
      <x:c r="A50" s="48" t="str">
        <x:v>LEAD-046</x:v>
      </x:c>
      <x:c r="B50" s="48" t="str">
        <x:v>UnionVale Supplies</x:v>
      </x:c>
      <x:c r="C50" s="48" t="str">
        <x:v>Sample Contact 46</x:v>
      </x:c>
      <x:c r="D50" s="48" t="str">
        <x:v>Professional services</x:v>
      </x:c>
      <x:c r="E50" s="48" t="str">
        <x:v>Website enquiry</x:v>
      </x:c>
      <x:c r="F50" s="48" t="str">
        <x:v>Asha</x:v>
      </x:c>
      <x:c r="G50" s="48" t="str">
        <x:v>Won</x:v>
      </x:c>
      <x:c r="H50" s="48" t="str">
        <x:v>High</x:v>
      </x:c>
      <x:c r="I50" s="52" t="n">
        <x:v>72000</x:v>
      </x:c>
      <x:c r="J50" s="66" t="n">
        <x:v>46303</x:v>
      </x:c>
      <x:c r="K50" s="66" t="n">
        <x:v>46300</x:v>
      </x:c>
      <x:c r="L50" s="48" t="str">
        <x:f>IF(OR(G50="Won",G50="Lost"),"Closed",IF(K50&lt;TODAY(),"OVERDUE","On track"))</x:f>
        <x:v>Closed</x:v>
      </x:c>
      <x:c r="M50" s="48" t="str">
        <x:v>Deal marked won in sample dataset.</x:v>
      </x:c>
    </x:row>
    <x:row r="51">
      <x:c r="A51" s="48" t="str">
        <x:v>LEAD-047</x:v>
      </x:c>
      <x:c r="B51" s="48" t="str">
        <x:v>ValleyGrid Solar</x:v>
      </x:c>
      <x:c r="C51" s="48" t="str">
        <x:v>Sample Contact 47</x:v>
      </x:c>
      <x:c r="D51" s="48" t="str">
        <x:v>Manufacturing</x:v>
      </x:c>
      <x:c r="E51" s="48" t="str">
        <x:v>Referral</x:v>
      </x:c>
      <x:c r="F51" s="48" t="str">
        <x:v>Kabir</x:v>
      </x:c>
      <x:c r="G51" s="48" t="str">
        <x:v>Won</x:v>
      </x:c>
      <x:c r="H51" s="48" t="str">
        <x:v>Medium</x:v>
      </x:c>
      <x:c r="I51" s="52" t="n">
        <x:v>39000</x:v>
      </x:c>
      <x:c r="J51" s="66" t="n">
        <x:v>46302</x:v>
      </x:c>
      <x:c r="K51" s="66" t="n">
        <x:v>46301</x:v>
      </x:c>
      <x:c r="L51" s="48" t="str">
        <x:f>IF(OR(G51="Won",G51="Lost"),"Closed",IF(K51&lt;TODAY(),"OVERDUE","On track"))</x:f>
        <x:v>Closed</x:v>
      </x:c>
      <x:c r="M51" s="48" t="str">
        <x:v>Deal marked won in sample dataset.</x:v>
      </x:c>
    </x:row>
    <x:row r="52">
      <x:c r="A52" s="48" t="str">
        <x:v>LEAD-048</x:v>
      </x:c>
      <x:c r="B52" s="48" t="str">
        <x:v>WillowBay Travel</x:v>
      </x:c>
      <x:c r="C52" s="48" t="str">
        <x:v>Sample Contact 48</x:v>
      </x:c>
      <x:c r="D52" s="48" t="str">
        <x:v>E-commerce</x:v>
      </x:c>
      <x:c r="E52" s="48" t="str">
        <x:v>LinkedIn</x:v>
      </x:c>
      <x:c r="F52" s="48" t="str">
        <x:v>Nina</x:v>
      </x:c>
      <x:c r="G52" s="48" t="str">
        <x:v>Lost</x:v>
      </x:c>
      <x:c r="H52" s="48" t="str">
        <x:v>Low</x:v>
      </x:c>
      <x:c r="I52" s="52" t="n">
        <x:v>85000</x:v>
      </x:c>
      <x:c r="J52" s="66" t="n">
        <x:v>46301</x:v>
      </x:c>
      <x:c r="K52" s="66" t="n">
        <x:v>46302</x:v>
      </x:c>
      <x:c r="L52" s="48" t="str">
        <x:f>IF(OR(G52="Won",G52="Lost"),"Closed",IF(K52&lt;TODAY(),"OVERDUE","On track"))</x:f>
        <x:v>Closed</x:v>
      </x:c>
      <x:c r="M52" s="48" t="str">
        <x:v>Closed lost; retain reason for learning.</x:v>
      </x:c>
    </x:row>
    <x:row r="53">
      <x:c r="A53" s="48" t="str">
        <x:v>LEAD-049</x:v>
      </x:c>
      <x:c r="B53" s="48" t="str">
        <x:v>XpressPoint Services</x:v>
      </x:c>
      <x:c r="C53" s="48" t="str">
        <x:v>Sample Contact 49</x:v>
      </x:c>
      <x:c r="D53" s="48" t="str">
        <x:v>Retail</x:v>
      </x:c>
      <x:c r="E53" s="48" t="str">
        <x:v>Trade directory</x:v>
      </x:c>
      <x:c r="F53" s="48" t="str">
        <x:v>Asha</x:v>
      </x:c>
      <x:c r="G53" s="48" t="str">
        <x:v>Lost</x:v>
      </x:c>
      <x:c r="H53" s="48" t="str">
        <x:v>High</x:v>
      </x:c>
      <x:c r="I53" s="52" t="n">
        <x:v>54000</x:v>
      </x:c>
      <x:c r="J53" s="66" t="n">
        <x:v>46300</x:v>
      </x:c>
      <x:c r="K53" s="66" t="n">
        <x:v>46303</x:v>
      </x:c>
      <x:c r="L53" s="48" t="str">
        <x:f>IF(OR(G53="Won",G53="Lost"),"Closed",IF(K53&lt;TODAY(),"OVERDUE","On track"))</x:f>
        <x:v>Closed</x:v>
      </x:c>
      <x:c r="M53" s="48" t="str">
        <x:v>Closed lost; retain reason for learning.</x:v>
      </x:c>
    </x:row>
    <x:row r="54">
      <x:c r="A54" s="48" t="str">
        <x:v>LEAD-050</x:v>
      </x:c>
      <x:c r="B54" s="48" t="str">
        <x:v>YonderPeak Sports</x:v>
      </x:c>
      <x:c r="C54" s="48" t="str">
        <x:v>Sample Contact 50</x:v>
      </x:c>
      <x:c r="D54" s="48" t="str">
        <x:v>Education</x:v>
      </x:c>
      <x:c r="E54" s="48" t="str">
        <x:v>Inbound call</x:v>
      </x:c>
      <x:c r="F54" s="48" t="str">
        <x:v>Kabir</x:v>
      </x:c>
      <x:c r="G54" s="48" t="str">
        <x:v>Lost</x:v>
      </x:c>
      <x:c r="H54" s="48" t="str">
        <x:v>Medium</x:v>
      </x:c>
      <x:c r="I54" s="52" t="n">
        <x:v>28000</x:v>
      </x:c>
      <x:c r="J54" s="66" t="n">
        <x:v>46299</x:v>
      </x:c>
      <x:c r="K54" s="66" t="n">
        <x:v>46304</x:v>
      </x:c>
      <x:c r="L54" s="48" t="str">
        <x:f>IF(OR(G54="Won",G54="Lost"),"Closed",IF(K54&lt;TODAY(),"OVERDUE","On track"))</x:f>
        <x:v>Closed</x:v>
      </x:c>
      <x:c r="M54" s="48" t="str">
        <x:v>Closed lost; retain reason for learning.</x:v>
      </x:c>
    </x:row>
  </x:sheetData>
  <x:mergeCells>
    <x:mergeCell ref="A1:M1"/>
    <x:mergeCell ref="A2:M2"/>
  </x:mergeCells>
  <x:conditionalFormatting sqref="L5:L54">
    <x:cfRule type="expression" dxfId="0" priority="1">
      <x:formula>L5="OVERDUE"</x:formula>
    </x:cfRule>
  </x:conditionalFormatting>
  <x:conditionalFormatting sqref="G5:G54">
    <x:cfRule type="expression" dxfId="1" priority="2">
      <x:formula>G5="Won"</x:formula>
    </x:cfRule>
  </x:conditionalFormatting>
  <x:dataValidations count="3">
    <x:dataValidation type="list" sqref="G5:G54">
      <x:formula1>"New Lead,Contacted,Qualified,Meeting Booked,Proposal Sent,Won,Lost"</x:formula1>
    </x:dataValidation>
    <x:dataValidation type="list" sqref="H5:H54">
      <x:formula1>"High,Medium,Low"</x:formula1>
    </x:dataValidation>
    <x:dataValidation type="list" sqref="E5:E54">
      <x:formula1>"Website enquiry,Referral,LinkedIn,Trade directory,Inbound call"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ac14ea3d8446b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9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</x:cols>
  <x:sheetData>
    <x:row r="1" ht="32" customHeight="1">
      <x:c r="A1" s="5" t="str">
        <x:v>FUNNEL ANALYSIS</x:v>
      </x:c>
      <x:c r="B1" s="5"/>
      <x:c r="C1" s="5"/>
      <x:c r="D1" s="5"/>
      <x:c r="E1" s="5"/>
      <x:c r="F1" s="5"/>
      <x:c r="G1" s="5"/>
    </x:row>
    <x:row r="2" ht="25" customHeight="1">
      <x:c r="A2" s="14" t="str">
        <x:v>Current stage counts are snapshots; cumulative stage reach is estimated from the highest stage reached in this sample.</x:v>
      </x:c>
      <x:c r="B2" s="14"/>
      <x:c r="C2" s="14"/>
      <x:c r="D2" s="14"/>
      <x:c r="E2" s="14"/>
      <x:c r="F2" s="14"/>
      <x:c r="G2" s="14"/>
    </x:row>
    <x:row r="4" ht="30" customHeight="1">
      <x:c r="A4" s="41" t="str">
        <x:v>Stage</x:v>
      </x:c>
      <x:c r="B4" s="41" t="str">
        <x:v>Current Leads</x:v>
      </x:c>
      <x:c r="C4" s="41" t="str">
        <x:v>Share of All Leads</x:v>
      </x:c>
      <x:c r="D4" s="41" t="str">
        <x:v>Cumulative Reached*</x:v>
      </x:c>
      <x:c r="E4" s="41" t="str">
        <x:v>Stage-to-Stage Rate</x:v>
      </x:c>
      <x:c r="F4" s="41" t="str">
        <x:v>Illustrative Next-Step Question</x:v>
      </x:c>
      <x:c r="G4" s="41" t="str">
        <x:v>Owner Action</x:v>
      </x:c>
    </x:row>
    <x:row r="5">
      <x:c r="A5" s="48" t="str">
        <x:v>New Lead</x:v>
      </x:c>
      <x:c r="B5" s="48" t="n">
        <x:f>COUNTIF('Lead Tracker'!$G$5:$G$54,A5)</x:f>
        <x:v>10</x:v>
      </x:c>
      <x:c r="C5" s="54" t="n">
        <x:f>IFERROR(B5/COUNTA('Lead Tracker'!$A$5:$A$54),0)</x:f>
        <x:v>0.2</x:v>
      </x:c>
      <x:c r="D5" s="48" t="n">
        <x:f>SUM(B5:B$10)</x:f>
        <x:v>47</x:v>
      </x:c>
      <x:c r="E5" s="54" t="str">
        <x:v>—</x:v>
      </x:c>
      <x:c r="F5" s="48" t="str">
        <x:v>Does the prospect fit the target profile?</x:v>
      </x:c>
      <x:c r="G5" s="48" t="str">
        <x:v>Make first contact within one business day.</x:v>
      </x:c>
    </x:row>
    <x:row r="6">
      <x:c r="A6" s="48" t="str">
        <x:v>Contacted</x:v>
      </x:c>
      <x:c r="B6" s="48" t="n">
        <x:f>COUNTIF('Lead Tracker'!$G$5:$G$54,A6)</x:f>
        <x:v>11</x:v>
      </x:c>
      <x:c r="C6" s="54" t="n">
        <x:f>IFERROR(B6/COUNTA('Lead Tracker'!$A$5:$A$54),0)</x:f>
        <x:v>0.22</x:v>
      </x:c>
      <x:c r="D6" s="48" t="n">
        <x:f>SUM(B6:B$10)</x:f>
        <x:v>37</x:v>
      </x:c>
      <x:c r="E6" s="54" t="n">
        <x:f>IFERROR(D6/D5,0)</x:f>
        <x:v>0.7872340425531915</x:v>
      </x:c>
      <x:c r="F6" s="48" t="str">
        <x:v>Was a need or challenge identified?</x:v>
      </x:c>
      <x:c r="G6" s="48" t="str">
        <x:v>Log outcome and set the next follow-up.</x:v>
      </x:c>
    </x:row>
    <x:row r="7">
      <x:c r="A7" s="48" t="str">
        <x:v>Qualified</x:v>
      </x:c>
      <x:c r="B7" s="48" t="n">
        <x:f>COUNTIF('Lead Tracker'!$G$5:$G$54,A7)</x:f>
        <x:v>9</x:v>
      </x:c>
      <x:c r="C7" s="54" t="n">
        <x:f>IFERROR(B7/COUNTA('Lead Tracker'!$A$5:$A$54),0)</x:f>
        <x:v>0.18</x:v>
      </x:c>
      <x:c r="D7" s="48" t="n">
        <x:f>SUM(B7:B$10)</x:f>
        <x:v>26</x:v>
      </x:c>
      <x:c r="E7" s="54" t="n">
        <x:f>IFERROR(D7/D6,0)</x:f>
        <x:v>0.7027027027027027</x:v>
      </x:c>
      <x:c r="F7" s="48" t="str">
        <x:v>Is there a need, fit and plausible buying timeline?</x:v>
      </x:c>
      <x:c r="G7" s="48" t="str">
        <x:v>Book a discovery meeting.</x:v>
      </x:c>
    </x:row>
    <x:row r="8">
      <x:c r="A8" s="48" t="str">
        <x:v>Meeting Booked</x:v>
      </x:c>
      <x:c r="B8" s="48" t="n">
        <x:f>COUNTIF('Lead Tracker'!$G$5:$G$54,A8)</x:f>
        <x:v>7</x:v>
      </x:c>
      <x:c r="C8" s="54" t="n">
        <x:f>IFERROR(B8/COUNTA('Lead Tracker'!$A$5:$A$54),0)</x:f>
        <x:v>0.14</x:v>
      </x:c>
      <x:c r="D8" s="48" t="n">
        <x:f>SUM(B8:B$10)</x:f>
        <x:v>17</x:v>
      </x:c>
      <x:c r="E8" s="54" t="n">
        <x:f>IFERROR(D8/D7,0)</x:f>
        <x:v>0.6538461538461539</x:v>
      </x:c>
      <x:c r="F8" s="48" t="str">
        <x:v>Did the meeting occur and uncover buying criteria?</x:v>
      </x:c>
      <x:c r="G8" s="48" t="str">
        <x:v>Send a tailored recap and next step.</x:v>
      </x:c>
    </x:row>
    <x:row r="9">
      <x:c r="A9" s="48" t="str">
        <x:v>Proposal Sent</x:v>
      </x:c>
      <x:c r="B9" s="48" t="n">
        <x:f>COUNTIF('Lead Tracker'!$G$5:$G$54,A9)</x:f>
        <x:v>6</x:v>
      </x:c>
      <x:c r="C9" s="54" t="n">
        <x:f>IFERROR(B9/COUNTA('Lead Tracker'!$A$5:$A$54),0)</x:f>
        <x:v>0.12</x:v>
      </x:c>
      <x:c r="D9" s="48" t="n">
        <x:f>SUM(B9:B$10)</x:f>
        <x:v>10</x:v>
      </x:c>
      <x:c r="E9" s="54" t="n">
        <x:f>IFERROR(D9/D8,0)</x:f>
        <x:v>0.5882352941176471</x:v>
      </x:c>
      <x:c r="F9" s="48" t="str">
        <x:v>Has the buyer reviewed scope, price and timing?</x:v>
      </x:c>
      <x:c r="G9" s="48" t="str">
        <x:v>Resolve questions; agree a decision date.</x:v>
      </x:c>
    </x:row>
    <x:row r="10">
      <x:c r="A10" s="48" t="str">
        <x:v>Won</x:v>
      </x:c>
      <x:c r="B10" s="48" t="n">
        <x:f>COUNTIF('Lead Tracker'!$G$5:$G$54,A10)</x:f>
        <x:v>4</x:v>
      </x:c>
      <x:c r="C10" s="54" t="n">
        <x:f>IFERROR(B10/COUNTA('Lead Tracker'!$A$5:$A$54),0)</x:f>
        <x:v>0.08</x:v>
      </x:c>
      <x:c r="D10" s="48" t="n">
        <x:f>SUM(B10:B$10)</x:f>
        <x:v>4</x:v>
      </x:c>
      <x:c r="E10" s="54" t="n">
        <x:f>IFERROR(D10/D9,0)</x:f>
        <x:v>0.4</x:v>
      </x:c>
      <x:c r="F10" s="48" t="str">
        <x:v>Is the agreement confirmed and handover completed?</x:v>
      </x:c>
      <x:c r="G10" s="48" t="str">
        <x:v>Record win details and onboarding owner.</x:v>
      </x:c>
    </x:row>
    <x:row r="11">
      <x:c r="A11" s="48" t="str">
        <x:v>Lost</x:v>
      </x:c>
      <x:c r="B11" s="48" t="n">
        <x:f>COUNTIF('Lead Tracker'!$G$5:$G$54,A11)</x:f>
        <x:v>3</x:v>
      </x:c>
      <x:c r="C11" s="54" t="n">
        <x:f>IFERROR(B11/COUNTA('Lead Tracker'!$A$5:$A$54),0)</x:f>
        <x:v>0.06</x:v>
      </x:c>
      <x:c r="D11" s="48" t="n">
        <x:f>B11</x:f>
        <x:v>3</x:v>
      </x:c>
      <x:c r="E11" s="54" t="n">
        <x:f>IFERROR(D11/D10,0)</x:f>
        <x:v>0.75</x:v>
      </x:c>
      <x:c r="F11" s="48" t="str">
        <x:v>Is a loss reason recorded accurately?</x:v>
      </x:c>
      <x:c r="G11" s="48" t="str">
        <x:v>Close respectfully; record learning.</x:v>
      </x:c>
    </x:row>
    <x:row r="13">
      <x:c r="A13" s="59" t="str">
        <x:v>*Cumulative reached is a simplified estimate based on the current stage ordering; real conversion analysis requires stage-history timestamps for every lead. Use this workbook to demonstrate tracking/reporting concepts, not as historical CRM data.</x:v>
      </x:c>
      <x:c r="B13" s="59"/>
      <x:c r="C13" s="59"/>
      <x:c r="D13" s="59"/>
      <x:c r="E13" s="59"/>
      <x:c r="F13" s="59"/>
      <x:c r="G13" s="59"/>
    </x:row>
    <x:row r="14">
      <x:c r="A14" s="59"/>
      <x:c r="B14" s="59"/>
      <x:c r="C14" s="59"/>
      <x:c r="D14" s="59"/>
      <x:c r="E14" s="59"/>
      <x:c r="F14" s="59"/>
      <x:c r="G14" s="59"/>
    </x:row>
  </x:sheetData>
  <x:mergeCells>
    <x:mergeCell ref="A1:G1"/>
    <x:mergeCell ref="A2:G2"/>
    <x:mergeCell ref="A13:G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28" hidden="0" customWidth="1"/>
    <x:col min="4" max="4" width="47" hidden="0" customWidth="1"/>
  </x:cols>
  <x:sheetData>
    <x:row r="1" ht="32" customHeight="1">
      <x:c r="A1" s="5" t="str">
        <x:v>SALES CALL SCRIPTS &amp; OBJECTION PLAYBOOK</x:v>
      </x:c>
      <x:c r="B1" s="5"/>
      <x:c r="C1" s="5"/>
      <x:c r="D1" s="5"/>
    </x:row>
    <x:row r="2" ht="25" customHeight="1">
      <x:c r="A2" s="14" t="str">
        <x:v>Practice only | Adapt to the product, buyer, and organisation; never misrepresent results or pressure prospects.</x:v>
      </x:c>
      <x:c r="B2" s="14"/>
      <x:c r="C2" s="14"/>
      <x:c r="D2" s="14"/>
    </x:row>
    <x:row r="4" ht="30" customHeight="1">
      <x:c r="A4" s="41" t="str">
        <x:v>Scenario</x:v>
      </x:c>
      <x:c r="B4" s="41" t="str">
        <x:v>Suggested wording / response</x:v>
      </x:c>
      <x:c r="C4" s="41" t="str">
        <x:v>Goal</x:v>
      </x:c>
      <x:c r="D4" s="41" t="str">
        <x:v>Do / Avoid</x:v>
      </x:c>
    </x:row>
    <x:row r="5">
      <x:c r="A5" s="48" t="str">
        <x:v>Inbound opening</x:v>
      </x:c>
      <x:c r="B5" s="48" t="str">
        <x:v>Thanks for reaching out to [Company]. I’m [Name]. To make this useful, may I ask what prompted your enquiry today?</x:v>
      </x:c>
      <x:c r="C5" s="48" t="str">
        <x:v>Understand intent</x:v>
      </x:c>
      <x:c r="D5" s="48" t="str">
        <x:v>Do ask permission; avoid launching into a pitch.</x:v>
      </x:c>
    </x:row>
    <x:row r="6">
      <x:c r="A6" s="48" t="str">
        <x:v>Outbound opening</x:v>
      </x:c>
      <x:c r="B6" s="48" t="str">
        <x:v>Hello [Name], I’m [Name] from [Company]. I’m calling because we work with [type of business] on [specific problem]. Is now a bad time for a 30-second explanation?</x:v>
      </x:c>
      <x:c r="C6" s="48" t="str">
        <x:v>Earn a short conversation</x:v>
      </x:c>
      <x:c r="D6" s="48" t="str">
        <x:v>Be transparent about identity and reason.</x:v>
      </x:c>
    </x:row>
    <x:row r="7">
      <x:c r="A7" s="48" t="str">
        <x:v>Discovery question</x:v>
      </x:c>
      <x:c r="B7" s="48" t="str">
        <x:v>How are you handling [process] today, and what is the biggest issue you would want to improve?</x:v>
      </x:c>
      <x:c r="C7" s="48" t="str">
        <x:v>Identify need</x:v>
      </x:c>
      <x:c r="D7" s="48" t="str">
        <x:v>Listen; don't assume a pain point.</x:v>
      </x:c>
    </x:row>
    <x:row r="8">
      <x:c r="A8" s="48" t="str">
        <x:v>Qualification</x:v>
      </x:c>
      <x:c r="B8" s="48" t="str">
        <x:v>What is the impact of this issue, who else is involved in deciding, and what timing are you working toward?</x:v>
      </x:c>
      <x:c r="C8" s="48" t="str">
        <x:v>Check fit and next step</x:v>
      </x:c>
      <x:c r="D8" s="48" t="str">
        <x:v>Ask respectfully; don't force budget disclosure.</x:v>
      </x:c>
    </x:row>
    <x:row r="9">
      <x:c r="A9" s="48" t="str">
        <x:v>Value explanation</x:v>
      </x:c>
      <x:c r="B9" s="48" t="str">
        <x:v>Based on what you shared, the most relevant capability is [feature], which may help with [specific outcome]. Would a short walkthrough be useful?</x:v>
      </x:c>
      <x:c r="C9" s="48" t="str">
        <x:v>Connect capability to need</x:v>
      </x:c>
      <x:c r="D9" s="48" t="str">
        <x:v>Avoid promising outcomes without evidence.</x:v>
      </x:c>
    </x:row>
    <x:row r="10">
      <x:c r="A10" s="48" t="str">
        <x:v>Close / next step</x:v>
      </x:c>
      <x:c r="B10" s="48" t="str">
        <x:v>Would [option A] or [option B] work better for a 15-minute discussion?</x:v>
      </x:c>
      <x:c r="C10" s="48" t="str">
        <x:v>Agree a next step</x:v>
      </x:c>
      <x:c r="D10" s="48" t="str">
        <x:v>Confirm date, time and channel.</x:v>
      </x:c>
    </x:row>
    <x:row r="11">
      <x:c r="A11" s="48" t="str">
        <x:v>Objection: Too expensive</x:v>
      </x:c>
      <x:c r="B11" s="48" t="str">
        <x:v>That's fair. May I ask what you're comparing the cost with? We can review the scope and whether the value matches your priorities.</x:v>
      </x:c>
      <x:c r="C11" s="48" t="str">
        <x:v>Understand price concern</x:v>
      </x:c>
      <x:c r="D11" s="48" t="str">
        <x:v>Don't disparage competitors or invent savings.</x:v>
      </x:c>
    </x:row>
    <x:row r="12">
      <x:c r="A12" s="48" t="str">
        <x:v>Objection: Not interested</x:v>
      </x:c>
      <x:c r="B12" s="48" t="str">
        <x:v>Understood. Is it that this isn't a priority, or that the timing isn't right? I can close the loop if it's not relevant.</x:v>
      </x:c>
      <x:c r="C12" s="48" t="str">
        <x:v>Respect choice / learn</x:v>
      </x:c>
      <x:c r="D12" s="48" t="str">
        <x:v>Accept a clear no.</x:v>
      </x:c>
    </x:row>
    <x:row r="13">
      <x:c r="A13" s="48" t="str">
        <x:v>Objection: Send details</x:v>
      </x:c>
      <x:c r="B13" s="48" t="str">
        <x:v>Absolutely. Which one or two areas should I focus on? I'll send a concise note and follow up only at an agreed time.</x:v>
      </x:c>
      <x:c r="C13" s="48" t="str">
        <x:v>Send relevant follow-up</x:v>
      </x:c>
      <x:c r="D13" s="48" t="str">
        <x:v>Don't send repeated unsolicited messages.</x:v>
      </x:c>
    </x:row>
    <x:row r="14">
      <x:c r="A14" s="48" t="str">
        <x:v>Objection: Already have a provider</x:v>
      </x:c>
      <x:c r="B14" s="48" t="str">
        <x:v>Makes sense. What is working well with your current provider? If there is a gap you want to compare, I can share information; otherwise I'll leave it there.</x:v>
      </x:c>
      <x:c r="C14" s="48" t="str">
        <x:v>Find a real gap</x:v>
      </x:c>
      <x:c r="D14" s="48" t="str">
        <x:v>Do not manufacture dissatisfaction.</x:v>
      </x:c>
    </x:row>
    <x:row r="15">
      <x:c r="A15" s="48" t="str">
        <x:v>Objection: Need approval</x:v>
      </x:c>
      <x:c r="B15" s="48" t="str">
        <x:v>Of course. What information would help the decision-maker evaluate this, and would it be useful to include them in a follow-up?</x:v>
      </x:c>
      <x:c r="C15" s="48" t="str">
        <x:v>Support buying process</x:v>
      </x:c>
      <x:c r="D15" s="48" t="str">
        <x:v>Don't bypass decision processes.</x:v>
      </x:c>
    </x:row>
    <x:row r="16">
      <x:c r="A16" s="48" t="str">
        <x:v>Objection: Call later</x:v>
      </x:c>
      <x:c r="B16" s="48" t="str">
        <x:v>No problem. What day and time is convenient? I'll note that and call then.</x:v>
      </x:c>
      <x:c r="C16" s="48" t="str">
        <x:v>Schedule a useful follow-up</x:v>
      </x:c>
      <x:c r="D16" s="48" t="str">
        <x:v>Respect requested timing.</x:v>
      </x:c>
    </x:row>
    <x:row r="17">
      <x:c r="A17" s="48" t="str">
        <x:v>Objection: No budget</x:v>
      </x:c>
      <x:c r="B17" s="48" t="str">
        <x:v>Thanks for telling me. Is the issue budget availability now, or that this isn't high enough priority? If it is not a fit, I won't push.</x:v>
      </x:c>
      <x:c r="C17" s="48" t="str">
        <x:v>Clarify timing / fit</x:v>
      </x:c>
      <x:c r="D17" s="48" t="str">
        <x:v>Never imply unapproved discounts.</x:v>
      </x:c>
    </x:row>
    <x:row r="18">
      <x:c r="A18" s="48" t="str">
        <x:v>Objection: Email only</x:v>
      </x:c>
      <x:c r="B18" s="48" t="str">
        <x:v>Certainly. What's the best email address to use, and what would you like me to cover? I'll respect email as your preferred channel.</x:v>
      </x:c>
      <x:c r="C18" s="48" t="str">
        <x:v>Honor channel preference</x:v>
      </x:c>
      <x:c r="D18" s="48" t="str">
        <x:v>Use contact data only with permission.</x:v>
      </x:c>
    </x:row>
    <x:row r="19">
      <x:c r="A19" s="48" t="str">
        <x:v>Objection: Prove results</x:v>
      </x:c>
      <x:c r="B19" s="48" t="str">
        <x:v>I can share approved case studies or product documentation. I won't quote a result that we can't substantiate.</x:v>
      </x:c>
      <x:c r="C19" s="48" t="str">
        <x:v>Build trust</x:v>
      </x:c>
      <x:c r="D19" s="48" t="str">
        <x:v>Do not fabricate client names, logos, metrics.</x:v>
      </x:c>
    </x:row>
    <x:row r="21">
      <x:c r="A21" s="68" t="str">
        <x:v>10-point ethical objection checklist</x:v>
      </x:c>
      <x:c r="B21" s="68"/>
      <x:c r="C21" s="68"/>
      <x:c r="D21" s="68"/>
    </x:row>
    <x:row r="22">
      <x:c r="A22" s="48" t="str">
        <x:v>1</x:v>
      </x:c>
      <x:c r="B22" s="48" t="str">
        <x:v>Listen without interrupting.</x:v>
      </x:c>
    </x:row>
    <x:row r="23">
      <x:c r="A23" s="48" t="str">
        <x:v>2</x:v>
      </x:c>
      <x:c r="B23" s="48" t="str">
        <x:v>Acknowledge the concern neutrally.</x:v>
      </x:c>
    </x:row>
    <x:row r="24">
      <x:c r="A24" s="48" t="str">
        <x:v>3</x:v>
      </x:c>
      <x:c r="B24" s="48" t="str">
        <x:v>Ask one clarifying question.</x:v>
      </x:c>
    </x:row>
    <x:row r="25">
      <x:c r="A25" s="48" t="str">
        <x:v>4</x:v>
      </x:c>
      <x:c r="B25" s="48" t="str">
        <x:v>Tie response to a stated need.</x:v>
      </x:c>
    </x:row>
    <x:row r="26">
      <x:c r="A26" s="48" t="str">
        <x:v>5</x:v>
      </x:c>
      <x:c r="B26" s="48" t="str">
        <x:v>Use only approved, verifiable claims.</x:v>
      </x:c>
    </x:row>
    <x:row r="27">
      <x:c r="A27" s="48" t="str">
        <x:v>6</x:v>
      </x:c>
      <x:c r="B27" s="48" t="str">
        <x:v>Be transparent about price and terms.</x:v>
      </x:c>
    </x:row>
    <x:row r="28">
      <x:c r="A28" s="48" t="str">
        <x:v>7</x:v>
      </x:c>
      <x:c r="B28" s="48" t="str">
        <x:v>Never guarantee unverified results.</x:v>
      </x:c>
    </x:row>
    <x:row r="29">
      <x:c r="A29" s="48" t="str">
        <x:v>8</x:v>
      </x:c>
      <x:c r="B29" s="48" t="str">
        <x:v>Respect no-contact requests.</x:v>
      </x:c>
    </x:row>
    <x:row r="30">
      <x:c r="A30" s="48" t="str">
        <x:v>9</x:v>
      </x:c>
      <x:c r="B30" s="48" t="str">
        <x:v>Agree a specific next step if desired.</x:v>
      </x:c>
    </x:row>
    <x:row r="31">
      <x:c r="A31" s="48" t="str">
        <x:v>10</x:v>
      </x:c>
      <x:c r="B31" s="48" t="str">
        <x:v>Log the outcome and follow-up date.</x:v>
      </x:c>
    </x:row>
  </x:sheetData>
  <x:mergeCells>
    <x:mergeCell ref="A1:D1"/>
    <x:mergeCell ref="A2:D2"/>
    <x:mergeCell ref="A21:D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80" hidden="0" customWidth="1"/>
  </x:cols>
  <x:sheetData>
    <x:row r="1" ht="32" customHeight="1">
      <x:c r="A1" s="5" t="str">
        <x:v>HOW TO USE THIS PRACTICE CRM</x:v>
      </x:c>
      <x:c r="B1" s="5"/>
      <x:c r="C1" s="5"/>
      <x:c r="D1" s="5"/>
    </x:row>
    <x:row r="2" ht="25" customHeight="1">
      <x:c r="A2" s="14" t="str">
        <x:v>All names, companies, deal values and dates are synthetic and created for a portfolio demonstration.</x:v>
      </x:c>
      <x:c r="B2" s="14"/>
      <x:c r="C2" s="14"/>
      <x:c r="D2" s="14"/>
    </x:row>
    <x:row r="4" ht="30" customHeight="1">
      <x:c r="A4" s="41" t="str">
        <x:v>Step</x:v>
      </x:c>
      <x:c r="B4" s="41" t="str">
        <x:v>Action</x:v>
      </x:c>
      <x:c r="C4" s="41" t="str">
        <x:v>Where</x:v>
      </x:c>
      <x:c r="D4" s="41" t="str">
        <x:v>Notes</x:v>
      </x:c>
    </x:row>
    <x:row r="5">
      <x:c r="A5" s="48" t="str">
        <x:v>1</x:v>
      </x:c>
      <x:c r="B5" s="48" t="str">
        <x:v>Review dashboard KPIs</x:v>
      </x:c>
      <x:c r="C5" s="48" t="str">
        <x:v>Dashboard</x:v>
      </x:c>
      <x:c r="D5" s="48" t="str">
        <x:v>KPIs recalculate in Excel when formulas are evaluated.</x:v>
      </x:c>
    </x:row>
    <x:row r="6">
      <x:c r="A6" s="48" t="str">
        <x:v>2</x:v>
      </x:c>
      <x:c r="B6" s="48" t="str">
        <x:v>Update a lead's stage</x:v>
      </x:c>
      <x:c r="C6" s="48" t="str">
        <x:v>Lead Tracker → Stage</x:v>
      </x:c>
      <x:c r="D6" s="48" t="str">
        <x:v>Use dropdown values; keep stage status truthful.</x:v>
      </x:c>
    </x:row>
    <x:row r="7">
      <x:c r="A7" s="48" t="str">
        <x:v>3</x:v>
      </x:c>
      <x:c r="B7" s="48" t="str">
        <x:v>Set the next follow-up date</x:v>
      </x:c>
      <x:c r="C7" s="48" t="str">
        <x:v>Lead Tracker → Next Follow-up</x:v>
      </x:c>
      <x:c r="D7" s="48" t="str">
        <x:v>Overdue flag compares this date with TODAY().</x:v>
      </x:c>
    </x:row>
    <x:row r="8">
      <x:c r="A8" s="48" t="str">
        <x:v>4</x:v>
      </x:c>
      <x:c r="B8" s="48" t="str">
        <x:v>Read the funnel summary</x:v>
      </x:c>
      <x:c r="C8" s="48" t="str">
        <x:v>Funnel Analysis</x:v>
      </x:c>
      <x:c r="D8" s="48" t="str">
        <x:v>Current stage counts are snapshots; cumulative reach is a simplified estimate.</x:v>
      </x:c>
    </x:row>
    <x:row r="9">
      <x:c r="A9" s="48" t="str">
        <x:v>5</x:v>
      </x:c>
      <x:c r="B9" s="48" t="str">
        <x:v>Practise a sales conversation</x:v>
      </x:c>
      <x:c r="C9" s="48" t="str">
        <x:v>Call Playbook</x:v>
      </x:c>
      <x:c r="D9" s="48" t="str">
        <x:v>Replace placeholders with a real, approved product pitch before live use.</x:v>
      </x:c>
    </x:row>
    <x:row r="10">
      <x:c r="A10" s="48" t="str">
        <x:v>6</x:v>
      </x:c>
      <x:c r="B10" s="48" t="str">
        <x:v>Import practice records</x:v>
      </x:c>
      <x:c r="C10" s="48" t="str">
        <x:v>CRM_Import_Template.csv</x:v>
      </x:c>
      <x:c r="D10" s="48" t="str">
        <x:v>Column mapping can vary by HubSpot/Zoho version; map fields before importing.</x:v>
      </x:c>
    </x:row>
  </x:sheetData>
  <x:mergeCells>
    <x:mergeCell ref="A1:D1"/>
    <x:mergeCell ref="A2:D2"/>
  </x:mergeCells>
  <x:pageMargins left="0.7" right="0.7" top="0.75" bottom="0.75" header="0.3" footer="0.3"/>
</x:worksheet>
</file>
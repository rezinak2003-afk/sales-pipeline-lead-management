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zoya1\Downloads\"/>
    </mc:Choice>
  </mc:AlternateContent>
  <xr:revisionPtr revIDLastSave="0" documentId="8_{66C129C5-C875-4C7C-923F-E7585F356D9E}" xr6:coauthVersionLast="47" xr6:coauthVersionMax="47" xr10:uidLastSave="{00000000-0000-0000-0000-000000000000}"/>
  <bookViews>
    <workbookView xWindow="-96" yWindow="0" windowWidth="11712" windowHeight="12336" firstSheet="2" activeTab="3" xr2:uid="{00000000-000D-0000-FFFF-FFFF00000000}"/>
  </bookViews>
  <sheets>
    <sheet name="Dashboard" sheetId="1" r:id="rId1"/>
    <sheet name="Read Me" sheetId="2" r:id="rId2"/>
    <sheet name="Lead Tracker" sheetId="3" r:id="rId3"/>
    <sheet name="Status Summary" sheetId="4" r:id="rId4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4" l="1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8" i="1"/>
  <c r="B7" i="1"/>
  <c r="B6" i="1"/>
  <c r="B5" i="1"/>
  <c r="B4" i="1"/>
  <c r="B9" i="1" l="1"/>
</calcChain>
</file>

<file path=xl/sharedStrings.xml><?xml version="1.0" encoding="utf-8"?>
<sst xmlns="http://schemas.openxmlformats.org/spreadsheetml/2006/main" count="295" uniqueCount="185">
  <si>
    <t>SALES PIPELINE DASHBOARD</t>
  </si>
  <si>
    <t>Metric</t>
  </si>
  <si>
    <t>Value</t>
  </si>
  <si>
    <t>What it tells you</t>
  </si>
  <si>
    <t>Total leads</t>
  </si>
  <si>
    <t>Number of sample leads being tracked.</t>
  </si>
  <si>
    <t>Qualified or later</t>
  </si>
  <si>
    <t>Leads that passed initial qualification.</t>
  </si>
  <si>
    <t>Overdue follow-ups</t>
  </si>
  <si>
    <t>Open leads whose next follow-up date is before today.</t>
  </si>
  <si>
    <t>Open pipeline value</t>
  </si>
  <si>
    <t>Estimated value of deals still in progress.</t>
  </si>
  <si>
    <t>Won deal value</t>
  </si>
  <si>
    <t>Estimated value of Won sample records.</t>
  </si>
  <si>
    <t>Lead-to-qualified rate</t>
  </si>
  <si>
    <t>Qualified-or-later leads divided by total leads.</t>
  </si>
  <si>
    <t>Interpretation</t>
  </si>
  <si>
    <t>Use overdue follow-ups to prioritise outreach; review status distribution to identify bottlenecks. Values are illustrative.</t>
  </si>
  <si>
    <t>Data notice</t>
  </si>
  <si>
    <t>All records are synthetic; do not present them as real customers, revenue or business outcomes.</t>
  </si>
  <si>
    <t>SALES PIPELINE &amp; LEAD MANAGEMENT SYSTEM</t>
  </si>
  <si>
    <t>Project type</t>
  </si>
  <si>
    <t>Excel-based sales operations / CRM portfolio project</t>
  </si>
  <si>
    <t>Purpose</t>
  </si>
  <si>
    <t>Track synthetic leads, follow-ups, deal stages and sales KPIs.</t>
  </si>
  <si>
    <t>All names, contacts, dates, companies and values are fictional demonstration data.</t>
  </si>
  <si>
    <t>How to use</t>
  </si>
  <si>
    <t>Update Lead Tracker rows. Dashboard and Status Summary formulas recalculate in Excel.</t>
  </si>
  <si>
    <t>Workflow</t>
  </si>
  <si>
    <t>Capture lead → qualify → follow up → progress stage → record outcome.</t>
  </si>
  <si>
    <t>Important</t>
  </si>
  <si>
    <t>Excel demo is complete. HubSpot signup/import is intentionally deferred.</t>
  </si>
  <si>
    <t>Resume wording</t>
  </si>
  <si>
    <t>Built an Excel-based sales pipeline tracker with lead-stage monitoring, follow-up tracking and KPI dashboard using synthetic data.</t>
  </si>
  <si>
    <t>Dashboard KPI</t>
  </si>
  <si>
    <t>Definition</t>
  </si>
  <si>
    <t>Count of lead records.</t>
  </si>
  <si>
    <t>Qualified, Meeting Scheduled, Proposal or Won stages.</t>
  </si>
  <si>
    <t>Open leads with a next follow-up date before today.</t>
  </si>
  <si>
    <t>Deal value excluding Won and Lost records.</t>
  </si>
  <si>
    <t>Deal value for Won records.</t>
  </si>
  <si>
    <t>Lead ID</t>
  </si>
  <si>
    <t>Contact Name</t>
  </si>
  <si>
    <t>Company / Prospect</t>
  </si>
  <si>
    <t>Email (Demo)</t>
  </si>
  <si>
    <t>Phone (Demo)</t>
  </si>
  <si>
    <t>Lead Source</t>
  </si>
  <si>
    <t>Need</t>
  </si>
  <si>
    <t>Budget (₹)</t>
  </si>
  <si>
    <t>Status</t>
  </si>
  <si>
    <t>Deal Value (₹)</t>
  </si>
  <si>
    <t>Last Contact</t>
  </si>
  <si>
    <t>Next Follow-up</t>
  </si>
  <si>
    <t>Owner</t>
  </si>
  <si>
    <t>Next Action</t>
  </si>
  <si>
    <t>Notes</t>
  </si>
  <si>
    <t>L001</t>
  </si>
  <si>
    <t>Demo Contact 01</t>
  </si>
  <si>
    <t>Aster Learning</t>
  </si>
  <si>
    <t>demo.contact01@example.com</t>
  </si>
  <si>
    <t>+91-9000000001</t>
  </si>
  <si>
    <t>Referral</t>
  </si>
  <si>
    <t>Product enquiry</t>
  </si>
  <si>
    <t>New</t>
  </si>
  <si>
    <t>Sales Rep 1</t>
  </si>
  <si>
    <t>Call to qualify</t>
  </si>
  <si>
    <t>Synthetic sample record — not a real prospect.</t>
  </si>
  <si>
    <t>L002</t>
  </si>
  <si>
    <t>Demo Contact 02</t>
  </si>
  <si>
    <t>Northstar Retail</t>
  </si>
  <si>
    <t>demo.contact02@example.com</t>
  </si>
  <si>
    <t>+91-9000000002</t>
  </si>
  <si>
    <t>Website</t>
  </si>
  <si>
    <t>Service comparison</t>
  </si>
  <si>
    <t>Contacted</t>
  </si>
  <si>
    <t>Send details</t>
  </si>
  <si>
    <t>L003</t>
  </si>
  <si>
    <t>Demo Contact 03</t>
  </si>
  <si>
    <t>BrightPath Services</t>
  </si>
  <si>
    <t>demo.contact03@example.com</t>
  </si>
  <si>
    <t>+91-9000000003</t>
  </si>
  <si>
    <t>Walk-in</t>
  </si>
  <si>
    <t>Bulk purchase</t>
  </si>
  <si>
    <t>Qualified</t>
  </si>
  <si>
    <t>Schedule meeting</t>
  </si>
  <si>
    <t>L004</t>
  </si>
  <si>
    <t>Demo Contact 04</t>
  </si>
  <si>
    <t>Cedar Office Supply</t>
  </si>
  <si>
    <t>demo.contact04@example.com</t>
  </si>
  <si>
    <t>+91-9000000004</t>
  </si>
  <si>
    <t>Phone enquiry</t>
  </si>
  <si>
    <t>Training enquiry</t>
  </si>
  <si>
    <t>Meeting Scheduled</t>
  </si>
  <si>
    <t>Share quotation</t>
  </si>
  <si>
    <t>L005</t>
  </si>
  <si>
    <t>Demo Contact 05</t>
  </si>
  <si>
    <t>BluePeak Academy</t>
  </si>
  <si>
    <t>demo.contact05@example.com</t>
  </si>
  <si>
    <t>+91-9000000005</t>
  </si>
  <si>
    <t>Email</t>
  </si>
  <si>
    <t>Order follow-up</t>
  </si>
  <si>
    <t>Proposal</t>
  </si>
  <si>
    <t>Confirm next step</t>
  </si>
  <si>
    <t>L006</t>
  </si>
  <si>
    <t>Demo Contact 06</t>
  </si>
  <si>
    <t>UrbanCart Demo</t>
  </si>
  <si>
    <t>demo.contact06@example.com</t>
  </si>
  <si>
    <t>+91-9000000006</t>
  </si>
  <si>
    <t>Social media</t>
  </si>
  <si>
    <t>Business service</t>
  </si>
  <si>
    <t>Won</t>
  </si>
  <si>
    <t>L007</t>
  </si>
  <si>
    <t>Demo Contact 07</t>
  </si>
  <si>
    <t>Silverline Finance</t>
  </si>
  <si>
    <t>demo.contact07@example.com</t>
  </si>
  <si>
    <t>+91-9000000007</t>
  </si>
  <si>
    <t>Lost</t>
  </si>
  <si>
    <t>L008</t>
  </si>
  <si>
    <t>Demo Contact 08</t>
  </si>
  <si>
    <t>Maple Events</t>
  </si>
  <si>
    <t>demo.contact08@example.com</t>
  </si>
  <si>
    <t>+91-9000000008</t>
  </si>
  <si>
    <t>L009</t>
  </si>
  <si>
    <t>Demo Contact 09</t>
  </si>
  <si>
    <t>Orbit Training</t>
  </si>
  <si>
    <t>demo.contact09@example.com</t>
  </si>
  <si>
    <t>+91-9000000009</t>
  </si>
  <si>
    <t>L010</t>
  </si>
  <si>
    <t>Demo Contact 10</t>
  </si>
  <si>
    <t>Sunrise Wholesale</t>
  </si>
  <si>
    <t>demo.contact10@example.com</t>
  </si>
  <si>
    <t>+91-9000000010</t>
  </si>
  <si>
    <t>L011</t>
  </si>
  <si>
    <t>Demo Contact 11</t>
  </si>
  <si>
    <t>Greenfield Clinic</t>
  </si>
  <si>
    <t>demo.contact11@example.com</t>
  </si>
  <si>
    <t>+91-9000000011</t>
  </si>
  <si>
    <t>L012</t>
  </si>
  <si>
    <t>Demo Contact 12</t>
  </si>
  <si>
    <t>Pioneer Logistics</t>
  </si>
  <si>
    <t>demo.contact12@example.com</t>
  </si>
  <si>
    <t>+91-9000000012</t>
  </si>
  <si>
    <t>L013</t>
  </si>
  <si>
    <t>Demo Contact 13</t>
  </si>
  <si>
    <t>Clearview Systems</t>
  </si>
  <si>
    <t>demo.contact13@example.com</t>
  </si>
  <si>
    <t>+91-9000000013</t>
  </si>
  <si>
    <t>L014</t>
  </si>
  <si>
    <t>Demo Contact 14</t>
  </si>
  <si>
    <t>Lakeview Store</t>
  </si>
  <si>
    <t>demo.contact14@example.com</t>
  </si>
  <si>
    <t>+91-9000000014</t>
  </si>
  <si>
    <t>L015</t>
  </si>
  <si>
    <t>Demo Contact 15</t>
  </si>
  <si>
    <t>Vertex Services</t>
  </si>
  <si>
    <t>demo.contact15@example.com</t>
  </si>
  <si>
    <t>+91-9000000015</t>
  </si>
  <si>
    <t>L016</t>
  </si>
  <si>
    <t>Demo Contact 16</t>
  </si>
  <si>
    <t>Cobalt Education</t>
  </si>
  <si>
    <t>demo.contact16@example.com</t>
  </si>
  <si>
    <t>+91-9000000016</t>
  </si>
  <si>
    <t>L017</t>
  </si>
  <si>
    <t>Demo Contact 17</t>
  </si>
  <si>
    <t>Nova Traders</t>
  </si>
  <si>
    <t>demo.contact17@example.com</t>
  </si>
  <si>
    <t>+91-9000000017</t>
  </si>
  <si>
    <t>L018</t>
  </si>
  <si>
    <t>Demo Contact 18</t>
  </si>
  <si>
    <t>Meadow Support</t>
  </si>
  <si>
    <t>demo.contact18@example.com</t>
  </si>
  <si>
    <t>+91-9000000018</t>
  </si>
  <si>
    <t>L019</t>
  </si>
  <si>
    <t>Demo Contact 19</t>
  </si>
  <si>
    <t>Summit Retail</t>
  </si>
  <si>
    <t>demo.contact19@example.com</t>
  </si>
  <si>
    <t>+91-9000000019</t>
  </si>
  <si>
    <t>L020</t>
  </si>
  <si>
    <t>Demo Contact 20</t>
  </si>
  <si>
    <t>Amber Solutions</t>
  </si>
  <si>
    <t>demo.contact20@example.com</t>
  </si>
  <si>
    <t>+91-9000000020</t>
  </si>
  <si>
    <t>LEAD STATUS SUMMARY</t>
  </si>
  <si>
    <t>Lead Count</t>
  </si>
  <si>
    <t>Share of Leads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</si>
</sst>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\₹#,##0"/>
    <numFmt numFmtId="166" formatCode="dd\-mmm\-yyyy"/>
  </numFmts>
  <fonts count="5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17365D"/>
      <name val="Calibri"/>
    </font>
    <font>
      <b/>
      <sz val="11"/>
      <color rgb="FFFFFFFF"/>
      <name val="Calibri"/>
    </font>
    <font>
      <b/>
      <sz val="12"/>
      <color rgb="FF0F6B7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3" borderId="0" xfId="0" applyFont="1" applyFill="1"/>
    <xf numFmtId="0" fontId="2" fillId="0" borderId="1" xfId="0" applyFont="1" applyBorder="1"/>
    <xf numFmtId="0" fontId="4" fillId="4" borderId="1" xfId="0" applyFont="1" applyFill="1" applyBorder="1"/>
    <xf numFmtId="0" fontId="0" fillId="0" borderId="1" xfId="0" applyBorder="1" applyAlignment="1">
      <alignment vertical="center" wrapText="1"/>
    </xf>
    <xf numFmtId="165" fontId="4" fillId="4" borderId="1" xfId="0" applyNumberFormat="1" applyFont="1" applyFill="1" applyBorder="1"/>
    <xf numFmtId="9" fontId="4" fillId="4" borderId="1" xfId="0" applyNumberFormat="1" applyFont="1" applyFill="1" applyBorder="1"/>
    <xf numFmtId="0" fontId="2" fillId="0" borderId="0" xfId="0" applyFont="1"/>
    <xf numFmtId="0" fontId="0" fillId="0" borderId="0" xfId="0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wrapText="1"/>
    </xf>
    <xf numFmtId="0" fontId="0" fillId="0" borderId="0" xfId="0" applyAlignment="1">
      <alignment vertical="top"/>
    </xf>
    <xf numFmtId="165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9" fontId="0" fillId="0" borderId="0" xfId="0" applyNumberFormat="1"/>
    <xf numFmtId="0" fontId="1" fillId="2" borderId="0" xfId="0" applyFont="1" applyFill="1" applyAlignment="1">
      <alignment vertical="center"/>
    </xf>
    <xf numFmtId="0" fontId="0" fillId="0" borderId="0" xfId="0"/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Leads by Status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'Status Summary'!$B$3</c:f>
              <c:strCache>
                <c:ptCount val="1"/>
                <c:pt idx="0">
                  <c:v>Lead 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'Status Summary'!$A$4:$A$10</c:f>
              <c:strCache>
                <c:ptCount val="7"/>
                <c:pt idx="0">
                  <c:v>New</c:v>
                </c:pt>
                <c:pt idx="1">
                  <c:v>Contacted</c:v>
                </c:pt>
                <c:pt idx="2">
                  <c:v>Qualified</c:v>
                </c:pt>
                <c:pt idx="3">
                  <c:v>Meeting Scheduled</c:v>
                </c:pt>
                <c:pt idx="4">
                  <c:v>Proposal</c:v>
                </c:pt>
                <c:pt idx="5">
                  <c:v>Won</c:v>
                </c:pt>
                <c:pt idx="6">
                  <c:v>Lost</c:v>
                </c:pt>
              </c:strCache>
            </c:strRef>
          </c:cat>
          <c:val>
            <c:numRef>
              <c:f>'Status Summary'!$B$4:$B$10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11-497C-9408-4ED213708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Lead 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Status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Lead Distribution by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'Status Summary'!$B$3</c:f>
              <c:strCache>
                <c:ptCount val="1"/>
                <c:pt idx="0">
                  <c:v>Lead 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'Status Summary'!$A$4:$A$10</c:f>
              <c:strCache>
                <c:ptCount val="7"/>
                <c:pt idx="0">
                  <c:v>New</c:v>
                </c:pt>
                <c:pt idx="1">
                  <c:v>Contacted</c:v>
                </c:pt>
                <c:pt idx="2">
                  <c:v>Qualified</c:v>
                </c:pt>
                <c:pt idx="3">
                  <c:v>Meeting Scheduled</c:v>
                </c:pt>
                <c:pt idx="4">
                  <c:v>Proposal</c:v>
                </c:pt>
                <c:pt idx="5">
                  <c:v>Won</c:v>
                </c:pt>
                <c:pt idx="6">
                  <c:v>Lost</c:v>
                </c:pt>
              </c:strCache>
            </c:strRef>
          </c:cat>
          <c:val>
            <c:numRef>
              <c:f>'Status Summary'!$B$4:$B$10</c:f>
              <c:numCache>
                <c:formatCode>General</c:formatCode>
                <c:ptCount val="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41-41D9-97B8-AD5BF5A50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eadTrackerTable" displayName="LeadTrackerTable" ref="A1:O21">
  <autoFilter ref="A1:O21" xr:uid="{00000000-0009-0000-0100-000001000000}"/>
  <tableColumns count="15">
    <tableColumn id="1" xr3:uid="{00000000-0010-0000-0000-000001000000}" name="Lead ID"/>
    <tableColumn id="2" xr3:uid="{00000000-0010-0000-0000-000002000000}" name="Contact Name"/>
    <tableColumn id="3" xr3:uid="{00000000-0010-0000-0000-000003000000}" name="Company / Prospect"/>
    <tableColumn id="4" xr3:uid="{00000000-0010-0000-0000-000004000000}" name="Email (Demo)"/>
    <tableColumn id="5" xr3:uid="{00000000-0010-0000-0000-000005000000}" name="Phone (Demo)"/>
    <tableColumn id="6" xr3:uid="{00000000-0010-0000-0000-000006000000}" name="Lead Source"/>
    <tableColumn id="7" xr3:uid="{00000000-0010-0000-0000-000007000000}" name="Need"/>
    <tableColumn id="8" xr3:uid="{00000000-0010-0000-0000-000008000000}" name="Budget (₹)"/>
    <tableColumn id="9" xr3:uid="{00000000-0010-0000-0000-000009000000}" name="Status"/>
    <tableColumn id="10" xr3:uid="{00000000-0010-0000-0000-00000A000000}" name="Deal Value (₹)"/>
    <tableColumn id="11" xr3:uid="{00000000-0010-0000-0000-00000B000000}" name="Last Contact"/>
    <tableColumn id="12" xr3:uid="{00000000-0010-0000-0000-00000C000000}" name="Next Follow-up"/>
    <tableColumn id="13" xr3:uid="{00000000-0010-0000-0000-00000D000000}" name="Owner"/>
    <tableColumn id="14" xr3:uid="{00000000-0010-0000-0000-00000E000000}" name="Next Action"/>
    <tableColumn id="15" xr3:uid="{00000000-0010-0000-0000-00000F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showGridLines="0" zoomScale="57" workbookViewId="0">
      <pane ySplit="1" topLeftCell="A2" activePane="bottomLeft" state="frozen"/>
      <selection pane="bottomLeft" activeCell="B20" sqref="B20"/>
    </sheetView>
  </sheetViews>
  <sheetFormatPr defaultRowHeight="14.4" x14ac:dyDescent="0.3"/>
  <cols>
    <col min="1" max="1" width="28" customWidth="1"/>
    <col min="2" max="2" width="22" customWidth="1"/>
    <col min="3" max="3" width="52" customWidth="1"/>
  </cols>
  <sheetData>
    <row r="1" spans="1:3" ht="30" customHeight="1" x14ac:dyDescent="0.3">
      <c r="A1" s="16" t="s">
        <v>0</v>
      </c>
      <c r="B1" s="17"/>
      <c r="C1" s="17"/>
    </row>
    <row r="3" spans="1:3" x14ac:dyDescent="0.3">
      <c r="A3" s="1" t="s">
        <v>1</v>
      </c>
      <c r="B3" s="1" t="s">
        <v>2</v>
      </c>
      <c r="C3" s="1" t="s">
        <v>3</v>
      </c>
    </row>
    <row r="4" spans="1:3" ht="30" customHeight="1" x14ac:dyDescent="0.3">
      <c r="A4" s="2" t="s">
        <v>4</v>
      </c>
      <c r="B4" s="3">
        <f>COUNTA('Lead Tracker'!$A$2:$A$21)</f>
        <v>20</v>
      </c>
      <c r="C4" s="4" t="s">
        <v>5</v>
      </c>
    </row>
    <row r="5" spans="1:3" ht="30" customHeight="1" x14ac:dyDescent="0.3">
      <c r="A5" s="2" t="s">
        <v>6</v>
      </c>
      <c r="B5" s="3">
        <f>COUNTIF('Lead Tracker'!$I$2:$I$21,"Qualified")+COUNTIF('Lead Tracker'!$I$2:$I$21,"Meeting Scheduled")+COUNTIF('Lead Tracker'!$I$2:$I$21,"Proposal")+COUNTIF('Lead Tracker'!$I$2:$I$21,"Won")</f>
        <v>12</v>
      </c>
      <c r="C5" s="4" t="s">
        <v>7</v>
      </c>
    </row>
    <row r="6" spans="1:3" ht="30" customHeight="1" x14ac:dyDescent="0.3">
      <c r="A6" s="2" t="s">
        <v>8</v>
      </c>
      <c r="B6" s="3">
        <f ca="1">COUNTIFS('Lead Tracker'!$L$2:$L$21,"&lt;"&amp;TODAY(),'Lead Tracker'!$I$2:$I$21,"&lt;&gt;Won",'Lead Tracker'!$I$2:$I$21,"&lt;&gt;Lost",'Lead Tracker'!$L$2:$L$21,"&lt;&gt;")</f>
        <v>15</v>
      </c>
      <c r="C6" s="4" t="s">
        <v>9</v>
      </c>
    </row>
    <row r="7" spans="1:3" ht="30" customHeight="1" x14ac:dyDescent="0.3">
      <c r="A7" s="2" t="s">
        <v>10</v>
      </c>
      <c r="B7" s="5">
        <f>SUMIFS('Lead Tracker'!$J$2:$J$21,'Lead Tracker'!$I$2:$I$21,"&lt;&gt;Won",'Lead Tracker'!$I$2:$I$21,"&lt;&gt;Lost")</f>
        <v>256500</v>
      </c>
      <c r="C7" s="4" t="s">
        <v>11</v>
      </c>
    </row>
    <row r="8" spans="1:3" ht="30" customHeight="1" x14ac:dyDescent="0.3">
      <c r="A8" s="2" t="s">
        <v>12</v>
      </c>
      <c r="B8" s="5">
        <f>SUMIF('Lead Tracker'!$I$2:$I$21,"Won",'Lead Tracker'!$J$2:$J$21)</f>
        <v>66000</v>
      </c>
      <c r="C8" s="4" t="s">
        <v>13</v>
      </c>
    </row>
    <row r="9" spans="1:3" ht="30" customHeight="1" x14ac:dyDescent="0.3">
      <c r="A9" s="2" t="s">
        <v>14</v>
      </c>
      <c r="B9" s="6">
        <f>IFERROR(B5/B4,0)</f>
        <v>0.6</v>
      </c>
      <c r="C9" s="4" t="s">
        <v>15</v>
      </c>
    </row>
    <row r="12" spans="1:3" x14ac:dyDescent="0.3">
      <c r="A12" s="7" t="s">
        <v>16</v>
      </c>
      <c r="B12" s="18" t="s">
        <v>17</v>
      </c>
      <c r="C12" s="17"/>
    </row>
    <row r="13" spans="1:3" x14ac:dyDescent="0.3">
      <c r="B13" s="17"/>
      <c r="C13" s="17"/>
    </row>
    <row r="15" spans="1:3" x14ac:dyDescent="0.3">
      <c r="A15" s="7" t="s">
        <v>18</v>
      </c>
      <c r="B15" s="18" t="s">
        <v>19</v>
      </c>
      <c r="C15" s="17"/>
    </row>
    <row r="16" spans="1:3" x14ac:dyDescent="0.3">
      <c r="B16" s="17"/>
      <c r="C16" s="17"/>
    </row>
  </sheetData>
  <mergeCells count="3">
    <mergeCell ref="A1:C1"/>
    <mergeCell ref="B15:C16"/>
    <mergeCell ref="B12:C1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"/>
  <sheetViews>
    <sheetView showGridLines="0" workbookViewId="0">
      <pane ySplit="2" topLeftCell="A3" activePane="bottomLeft" state="frozen"/>
      <selection pane="bottomLeft"/>
    </sheetView>
  </sheetViews>
  <sheetFormatPr defaultRowHeight="14.4" x14ac:dyDescent="0.3"/>
  <cols>
    <col min="1" max="1" width="25" customWidth="1"/>
    <col min="2" max="2" width="105" customWidth="1"/>
  </cols>
  <sheetData>
    <row r="1" spans="1:3" ht="30" customHeight="1" x14ac:dyDescent="0.3">
      <c r="A1" s="16" t="s">
        <v>20</v>
      </c>
      <c r="B1" s="17"/>
      <c r="C1" s="17"/>
    </row>
    <row r="3" spans="1:3" x14ac:dyDescent="0.3">
      <c r="A3" s="9" t="s">
        <v>21</v>
      </c>
      <c r="B3" s="10" t="s">
        <v>22</v>
      </c>
    </row>
    <row r="4" spans="1:3" x14ac:dyDescent="0.3">
      <c r="A4" s="9" t="s">
        <v>23</v>
      </c>
      <c r="B4" s="10" t="s">
        <v>24</v>
      </c>
    </row>
    <row r="5" spans="1:3" x14ac:dyDescent="0.3">
      <c r="A5" s="9" t="s">
        <v>18</v>
      </c>
      <c r="B5" s="10" t="s">
        <v>25</v>
      </c>
    </row>
    <row r="6" spans="1:3" x14ac:dyDescent="0.3">
      <c r="A6" s="9" t="s">
        <v>26</v>
      </c>
      <c r="B6" s="10" t="s">
        <v>27</v>
      </c>
    </row>
    <row r="7" spans="1:3" x14ac:dyDescent="0.3">
      <c r="A7" s="9" t="s">
        <v>28</v>
      </c>
      <c r="B7" s="10" t="s">
        <v>29</v>
      </c>
    </row>
    <row r="8" spans="1:3" x14ac:dyDescent="0.3">
      <c r="A8" s="9" t="s">
        <v>30</v>
      </c>
      <c r="B8" s="10" t="s">
        <v>31</v>
      </c>
    </row>
    <row r="9" spans="1:3" ht="28.8" x14ac:dyDescent="0.3">
      <c r="A9" s="9" t="s">
        <v>32</v>
      </c>
      <c r="B9" s="10" t="s">
        <v>33</v>
      </c>
    </row>
    <row r="10" spans="1:3" x14ac:dyDescent="0.3">
      <c r="A10" s="9"/>
      <c r="B10" s="10"/>
    </row>
    <row r="11" spans="1:3" x14ac:dyDescent="0.3">
      <c r="A11" s="9" t="s">
        <v>34</v>
      </c>
      <c r="B11" s="10" t="s">
        <v>35</v>
      </c>
    </row>
    <row r="12" spans="1:3" x14ac:dyDescent="0.3">
      <c r="A12" s="9" t="s">
        <v>4</v>
      </c>
      <c r="B12" s="10" t="s">
        <v>36</v>
      </c>
    </row>
    <row r="13" spans="1:3" x14ac:dyDescent="0.3">
      <c r="A13" s="9" t="s">
        <v>6</v>
      </c>
      <c r="B13" s="10" t="s">
        <v>37</v>
      </c>
    </row>
    <row r="14" spans="1:3" x14ac:dyDescent="0.3">
      <c r="A14" s="9" t="s">
        <v>8</v>
      </c>
      <c r="B14" s="10" t="s">
        <v>38</v>
      </c>
    </row>
    <row r="15" spans="1:3" x14ac:dyDescent="0.3">
      <c r="A15" s="9" t="s">
        <v>10</v>
      </c>
      <c r="B15" s="10" t="s">
        <v>39</v>
      </c>
    </row>
    <row r="16" spans="1:3" x14ac:dyDescent="0.3">
      <c r="A16" s="9" t="s">
        <v>12</v>
      </c>
      <c r="B16" s="10" t="s">
        <v>40</v>
      </c>
    </row>
    <row r="17" spans="1:2" x14ac:dyDescent="0.3">
      <c r="A17" s="9" t="s">
        <v>14</v>
      </c>
      <c r="B17" s="10" t="s">
        <v>15</v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1"/>
  <sheetViews>
    <sheetView showGridLines="0" zoomScale="47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20" customWidth="1"/>
    <col min="3" max="3" width="24" customWidth="1"/>
    <col min="4" max="4" width="32" customWidth="1"/>
    <col min="5" max="6" width="18" customWidth="1"/>
    <col min="7" max="7" width="22" customWidth="1"/>
    <col min="8" max="8" width="15" customWidth="1"/>
    <col min="9" max="9" width="20" customWidth="1"/>
    <col min="10" max="10" width="17" customWidth="1"/>
    <col min="11" max="11" width="16" customWidth="1"/>
    <col min="12" max="13" width="17" customWidth="1"/>
    <col min="14" max="14" width="22" customWidth="1"/>
    <col min="15" max="15" width="48" customWidth="1"/>
  </cols>
  <sheetData>
    <row r="1" spans="1:15" ht="31.95" customHeight="1" x14ac:dyDescent="0.3">
      <c r="A1" s="11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1" t="s">
        <v>46</v>
      </c>
      <c r="G1" s="11" t="s">
        <v>47</v>
      </c>
      <c r="H1" s="11" t="s">
        <v>48</v>
      </c>
      <c r="I1" s="11" t="s">
        <v>49</v>
      </c>
      <c r="J1" s="11" t="s">
        <v>50</v>
      </c>
      <c r="K1" s="11" t="s">
        <v>51</v>
      </c>
      <c r="L1" s="11" t="s">
        <v>52</v>
      </c>
      <c r="M1" s="11" t="s">
        <v>53</v>
      </c>
      <c r="N1" s="11" t="s">
        <v>54</v>
      </c>
      <c r="O1" s="11" t="s">
        <v>55</v>
      </c>
    </row>
    <row r="2" spans="1:15" x14ac:dyDescent="0.3">
      <c r="A2" s="12" t="s">
        <v>56</v>
      </c>
      <c r="B2" s="12" t="s">
        <v>57</v>
      </c>
      <c r="C2" s="8" t="s">
        <v>58</v>
      </c>
      <c r="D2" s="8" t="s">
        <v>59</v>
      </c>
      <c r="E2" s="12" t="s">
        <v>60</v>
      </c>
      <c r="F2" s="12" t="s">
        <v>61</v>
      </c>
      <c r="G2" s="8" t="s">
        <v>62</v>
      </c>
      <c r="H2" s="13">
        <v>5000</v>
      </c>
      <c r="I2" s="12" t="s">
        <v>63</v>
      </c>
      <c r="J2" s="13">
        <v>8000</v>
      </c>
      <c r="K2" s="14">
        <v>46266</v>
      </c>
      <c r="L2" s="14">
        <v>46265</v>
      </c>
      <c r="M2" s="12" t="s">
        <v>64</v>
      </c>
      <c r="N2" s="8" t="s">
        <v>65</v>
      </c>
      <c r="O2" s="8" t="s">
        <v>66</v>
      </c>
    </row>
    <row r="3" spans="1:15" x14ac:dyDescent="0.3">
      <c r="A3" s="12" t="s">
        <v>67</v>
      </c>
      <c r="B3" s="12" t="s">
        <v>68</v>
      </c>
      <c r="C3" s="8" t="s">
        <v>69</v>
      </c>
      <c r="D3" s="8" t="s">
        <v>70</v>
      </c>
      <c r="E3" s="12" t="s">
        <v>71</v>
      </c>
      <c r="F3" s="12" t="s">
        <v>72</v>
      </c>
      <c r="G3" s="8" t="s">
        <v>73</v>
      </c>
      <c r="H3" s="13">
        <v>7500</v>
      </c>
      <c r="I3" s="12" t="s">
        <v>74</v>
      </c>
      <c r="J3" s="13">
        <v>11500</v>
      </c>
      <c r="K3" s="14">
        <v>46267</v>
      </c>
      <c r="L3" s="14">
        <v>46267</v>
      </c>
      <c r="M3" s="12" t="s">
        <v>64</v>
      </c>
      <c r="N3" s="8" t="s">
        <v>75</v>
      </c>
      <c r="O3" s="8" t="s">
        <v>66</v>
      </c>
    </row>
    <row r="4" spans="1:15" x14ac:dyDescent="0.3">
      <c r="A4" s="12" t="s">
        <v>76</v>
      </c>
      <c r="B4" s="12" t="s">
        <v>77</v>
      </c>
      <c r="C4" s="8" t="s">
        <v>78</v>
      </c>
      <c r="D4" s="8" t="s">
        <v>79</v>
      </c>
      <c r="E4" s="12" t="s">
        <v>80</v>
      </c>
      <c r="F4" s="12" t="s">
        <v>81</v>
      </c>
      <c r="G4" s="8" t="s">
        <v>82</v>
      </c>
      <c r="H4" s="13">
        <v>10000</v>
      </c>
      <c r="I4" s="12" t="s">
        <v>83</v>
      </c>
      <c r="J4" s="13">
        <v>15000</v>
      </c>
      <c r="K4" s="14">
        <v>46268</v>
      </c>
      <c r="L4" s="14">
        <v>46269</v>
      </c>
      <c r="M4" s="12" t="s">
        <v>64</v>
      </c>
      <c r="N4" s="8" t="s">
        <v>84</v>
      </c>
      <c r="O4" s="8" t="s">
        <v>66</v>
      </c>
    </row>
    <row r="5" spans="1:15" x14ac:dyDescent="0.3">
      <c r="A5" s="12" t="s">
        <v>85</v>
      </c>
      <c r="B5" s="12" t="s">
        <v>86</v>
      </c>
      <c r="C5" s="8" t="s">
        <v>87</v>
      </c>
      <c r="D5" s="8" t="s">
        <v>88</v>
      </c>
      <c r="E5" s="12" t="s">
        <v>89</v>
      </c>
      <c r="F5" s="12" t="s">
        <v>90</v>
      </c>
      <c r="G5" s="8" t="s">
        <v>91</v>
      </c>
      <c r="H5" s="13">
        <v>12500</v>
      </c>
      <c r="I5" s="12" t="s">
        <v>92</v>
      </c>
      <c r="J5" s="13">
        <v>18500</v>
      </c>
      <c r="K5" s="14">
        <v>46269</v>
      </c>
      <c r="L5" s="14">
        <v>46271</v>
      </c>
      <c r="M5" s="12" t="s">
        <v>64</v>
      </c>
      <c r="N5" s="8" t="s">
        <v>93</v>
      </c>
      <c r="O5" s="8" t="s">
        <v>66</v>
      </c>
    </row>
    <row r="6" spans="1:15" x14ac:dyDescent="0.3">
      <c r="A6" s="12" t="s">
        <v>94</v>
      </c>
      <c r="B6" s="12" t="s">
        <v>95</v>
      </c>
      <c r="C6" s="8" t="s">
        <v>96</v>
      </c>
      <c r="D6" s="8" t="s">
        <v>97</v>
      </c>
      <c r="E6" s="12" t="s">
        <v>98</v>
      </c>
      <c r="F6" s="12" t="s">
        <v>99</v>
      </c>
      <c r="G6" s="8" t="s">
        <v>100</v>
      </c>
      <c r="H6" s="13">
        <v>15000</v>
      </c>
      <c r="I6" s="12" t="s">
        <v>101</v>
      </c>
      <c r="J6" s="13">
        <v>22000</v>
      </c>
      <c r="K6" s="14">
        <v>46270</v>
      </c>
      <c r="L6" s="14">
        <v>46273</v>
      </c>
      <c r="M6" s="12" t="s">
        <v>64</v>
      </c>
      <c r="N6" s="8" t="s">
        <v>102</v>
      </c>
      <c r="O6" s="8" t="s">
        <v>66</v>
      </c>
    </row>
    <row r="7" spans="1:15" x14ac:dyDescent="0.3">
      <c r="A7" s="12" t="s">
        <v>103</v>
      </c>
      <c r="B7" s="12" t="s">
        <v>104</v>
      </c>
      <c r="C7" s="8" t="s">
        <v>105</v>
      </c>
      <c r="D7" s="8" t="s">
        <v>106</v>
      </c>
      <c r="E7" s="12" t="s">
        <v>107</v>
      </c>
      <c r="F7" s="12" t="s">
        <v>108</v>
      </c>
      <c r="G7" s="8" t="s">
        <v>109</v>
      </c>
      <c r="H7" s="13">
        <v>17500</v>
      </c>
      <c r="I7" s="12" t="s">
        <v>110</v>
      </c>
      <c r="J7" s="13">
        <v>25500</v>
      </c>
      <c r="K7" s="14">
        <v>46271</v>
      </c>
      <c r="L7" s="14">
        <v>46275</v>
      </c>
      <c r="M7" s="12" t="s">
        <v>64</v>
      </c>
      <c r="N7" s="8" t="s">
        <v>65</v>
      </c>
      <c r="O7" s="8" t="s">
        <v>66</v>
      </c>
    </row>
    <row r="8" spans="1:15" x14ac:dyDescent="0.3">
      <c r="A8" s="12" t="s">
        <v>111</v>
      </c>
      <c r="B8" s="12" t="s">
        <v>112</v>
      </c>
      <c r="C8" s="8" t="s">
        <v>113</v>
      </c>
      <c r="D8" s="8" t="s">
        <v>114</v>
      </c>
      <c r="E8" s="12" t="s">
        <v>115</v>
      </c>
      <c r="F8" s="12" t="s">
        <v>61</v>
      </c>
      <c r="G8" s="8" t="s">
        <v>62</v>
      </c>
      <c r="H8" s="13">
        <v>5000</v>
      </c>
      <c r="I8" s="12" t="s">
        <v>116</v>
      </c>
      <c r="J8" s="13">
        <v>29000</v>
      </c>
      <c r="K8" s="14">
        <v>46272</v>
      </c>
      <c r="L8" s="14">
        <v>46277</v>
      </c>
      <c r="M8" s="12" t="s">
        <v>64</v>
      </c>
      <c r="N8" s="8" t="s">
        <v>75</v>
      </c>
      <c r="O8" s="8" t="s">
        <v>66</v>
      </c>
    </row>
    <row r="9" spans="1:15" x14ac:dyDescent="0.3">
      <c r="A9" s="12" t="s">
        <v>117</v>
      </c>
      <c r="B9" s="12" t="s">
        <v>118</v>
      </c>
      <c r="C9" s="8" t="s">
        <v>119</v>
      </c>
      <c r="D9" s="8" t="s">
        <v>120</v>
      </c>
      <c r="E9" s="12" t="s">
        <v>121</v>
      </c>
      <c r="F9" s="12" t="s">
        <v>72</v>
      </c>
      <c r="G9" s="8" t="s">
        <v>73</v>
      </c>
      <c r="H9" s="13">
        <v>7500</v>
      </c>
      <c r="I9" s="12" t="s">
        <v>63</v>
      </c>
      <c r="J9" s="13">
        <v>32500</v>
      </c>
      <c r="K9" s="14">
        <v>46273</v>
      </c>
      <c r="L9" s="14">
        <v>46279</v>
      </c>
      <c r="M9" s="12" t="s">
        <v>64</v>
      </c>
      <c r="N9" s="8" t="s">
        <v>84</v>
      </c>
      <c r="O9" s="8" t="s">
        <v>66</v>
      </c>
    </row>
    <row r="10" spans="1:15" x14ac:dyDescent="0.3">
      <c r="A10" s="12" t="s">
        <v>122</v>
      </c>
      <c r="B10" s="12" t="s">
        <v>123</v>
      </c>
      <c r="C10" s="8" t="s">
        <v>124</v>
      </c>
      <c r="D10" s="8" t="s">
        <v>125</v>
      </c>
      <c r="E10" s="12" t="s">
        <v>126</v>
      </c>
      <c r="F10" s="12" t="s">
        <v>81</v>
      </c>
      <c r="G10" s="8" t="s">
        <v>82</v>
      </c>
      <c r="H10" s="13">
        <v>10000</v>
      </c>
      <c r="I10" s="12" t="s">
        <v>74</v>
      </c>
      <c r="J10" s="13">
        <v>8000</v>
      </c>
      <c r="K10" s="14">
        <v>46274</v>
      </c>
      <c r="L10" s="14">
        <v>46281</v>
      </c>
      <c r="M10" s="12" t="s">
        <v>64</v>
      </c>
      <c r="N10" s="8" t="s">
        <v>93</v>
      </c>
      <c r="O10" s="8" t="s">
        <v>66</v>
      </c>
    </row>
    <row r="11" spans="1:15" x14ac:dyDescent="0.3">
      <c r="A11" s="12" t="s">
        <v>127</v>
      </c>
      <c r="B11" s="12" t="s">
        <v>128</v>
      </c>
      <c r="C11" s="8" t="s">
        <v>129</v>
      </c>
      <c r="D11" s="8" t="s">
        <v>130</v>
      </c>
      <c r="E11" s="12" t="s">
        <v>131</v>
      </c>
      <c r="F11" s="12" t="s">
        <v>90</v>
      </c>
      <c r="G11" s="8" t="s">
        <v>91</v>
      </c>
      <c r="H11" s="13">
        <v>12500</v>
      </c>
      <c r="I11" s="12" t="s">
        <v>83</v>
      </c>
      <c r="J11" s="13">
        <v>11500</v>
      </c>
      <c r="K11" s="14">
        <v>46275</v>
      </c>
      <c r="L11" s="14">
        <v>46283</v>
      </c>
      <c r="M11" s="12" t="s">
        <v>64</v>
      </c>
      <c r="N11" s="8" t="s">
        <v>102</v>
      </c>
      <c r="O11" s="8" t="s">
        <v>66</v>
      </c>
    </row>
    <row r="12" spans="1:15" x14ac:dyDescent="0.3">
      <c r="A12" s="12" t="s">
        <v>132</v>
      </c>
      <c r="B12" s="12" t="s">
        <v>133</v>
      </c>
      <c r="C12" s="8" t="s">
        <v>134</v>
      </c>
      <c r="D12" s="8" t="s">
        <v>135</v>
      </c>
      <c r="E12" s="12" t="s">
        <v>136</v>
      </c>
      <c r="F12" s="12" t="s">
        <v>99</v>
      </c>
      <c r="G12" s="8" t="s">
        <v>100</v>
      </c>
      <c r="H12" s="13">
        <v>15000</v>
      </c>
      <c r="I12" s="12" t="s">
        <v>92</v>
      </c>
      <c r="J12" s="13">
        <v>15000</v>
      </c>
      <c r="K12" s="14">
        <v>46276</v>
      </c>
      <c r="L12" s="14">
        <v>46285</v>
      </c>
      <c r="M12" s="12" t="s">
        <v>64</v>
      </c>
      <c r="N12" s="8" t="s">
        <v>65</v>
      </c>
      <c r="O12" s="8" t="s">
        <v>66</v>
      </c>
    </row>
    <row r="13" spans="1:15" x14ac:dyDescent="0.3">
      <c r="A13" s="12" t="s">
        <v>137</v>
      </c>
      <c r="B13" s="12" t="s">
        <v>138</v>
      </c>
      <c r="C13" s="8" t="s">
        <v>139</v>
      </c>
      <c r="D13" s="8" t="s">
        <v>140</v>
      </c>
      <c r="E13" s="12" t="s">
        <v>141</v>
      </c>
      <c r="F13" s="12" t="s">
        <v>108</v>
      </c>
      <c r="G13" s="8" t="s">
        <v>109</v>
      </c>
      <c r="H13" s="13">
        <v>17500</v>
      </c>
      <c r="I13" s="12" t="s">
        <v>101</v>
      </c>
      <c r="J13" s="13">
        <v>18500</v>
      </c>
      <c r="K13" s="14">
        <v>46277</v>
      </c>
      <c r="L13" s="14">
        <v>46287</v>
      </c>
      <c r="M13" s="12" t="s">
        <v>64</v>
      </c>
      <c r="N13" s="8" t="s">
        <v>75</v>
      </c>
      <c r="O13" s="8" t="s">
        <v>66</v>
      </c>
    </row>
    <row r="14" spans="1:15" x14ac:dyDescent="0.3">
      <c r="A14" s="12" t="s">
        <v>142</v>
      </c>
      <c r="B14" s="12" t="s">
        <v>143</v>
      </c>
      <c r="C14" s="8" t="s">
        <v>144</v>
      </c>
      <c r="D14" s="8" t="s">
        <v>145</v>
      </c>
      <c r="E14" s="12" t="s">
        <v>146</v>
      </c>
      <c r="F14" s="12" t="s">
        <v>61</v>
      </c>
      <c r="G14" s="8" t="s">
        <v>62</v>
      </c>
      <c r="H14" s="13">
        <v>5000</v>
      </c>
      <c r="I14" s="12" t="s">
        <v>110</v>
      </c>
      <c r="J14" s="13">
        <v>22000</v>
      </c>
      <c r="K14" s="14">
        <v>46278</v>
      </c>
      <c r="L14" s="14">
        <v>46289</v>
      </c>
      <c r="M14" s="12" t="s">
        <v>64</v>
      </c>
      <c r="N14" s="8" t="s">
        <v>84</v>
      </c>
      <c r="O14" s="8" t="s">
        <v>66</v>
      </c>
    </row>
    <row r="15" spans="1:15" x14ac:dyDescent="0.3">
      <c r="A15" s="12" t="s">
        <v>147</v>
      </c>
      <c r="B15" s="12" t="s">
        <v>148</v>
      </c>
      <c r="C15" s="8" t="s">
        <v>149</v>
      </c>
      <c r="D15" s="8" t="s">
        <v>150</v>
      </c>
      <c r="E15" s="12" t="s">
        <v>151</v>
      </c>
      <c r="F15" s="12" t="s">
        <v>72</v>
      </c>
      <c r="G15" s="8" t="s">
        <v>73</v>
      </c>
      <c r="H15" s="13">
        <v>7500</v>
      </c>
      <c r="I15" s="12" t="s">
        <v>116</v>
      </c>
      <c r="J15" s="13">
        <v>25500</v>
      </c>
      <c r="K15" s="14">
        <v>46279</v>
      </c>
      <c r="L15" s="14">
        <v>46291</v>
      </c>
      <c r="M15" s="12" t="s">
        <v>64</v>
      </c>
      <c r="N15" s="8" t="s">
        <v>93</v>
      </c>
      <c r="O15" s="8" t="s">
        <v>66</v>
      </c>
    </row>
    <row r="16" spans="1:15" x14ac:dyDescent="0.3">
      <c r="A16" s="12" t="s">
        <v>152</v>
      </c>
      <c r="B16" s="12" t="s">
        <v>153</v>
      </c>
      <c r="C16" s="8" t="s">
        <v>154</v>
      </c>
      <c r="D16" s="8" t="s">
        <v>155</v>
      </c>
      <c r="E16" s="12" t="s">
        <v>156</v>
      </c>
      <c r="F16" s="12" t="s">
        <v>81</v>
      </c>
      <c r="G16" s="8" t="s">
        <v>82</v>
      </c>
      <c r="H16" s="13">
        <v>10000</v>
      </c>
      <c r="I16" s="12" t="s">
        <v>63</v>
      </c>
      <c r="J16" s="13">
        <v>29000</v>
      </c>
      <c r="K16" s="14">
        <v>46280</v>
      </c>
      <c r="L16" s="14">
        <v>46293</v>
      </c>
      <c r="M16" s="12" t="s">
        <v>64</v>
      </c>
      <c r="N16" s="8" t="s">
        <v>102</v>
      </c>
      <c r="O16" s="8" t="s">
        <v>66</v>
      </c>
    </row>
    <row r="17" spans="1:15" x14ac:dyDescent="0.3">
      <c r="A17" s="12" t="s">
        <v>157</v>
      </c>
      <c r="B17" s="12" t="s">
        <v>158</v>
      </c>
      <c r="C17" s="8" t="s">
        <v>159</v>
      </c>
      <c r="D17" s="8" t="s">
        <v>160</v>
      </c>
      <c r="E17" s="12" t="s">
        <v>161</v>
      </c>
      <c r="F17" s="12" t="s">
        <v>90</v>
      </c>
      <c r="G17" s="8" t="s">
        <v>91</v>
      </c>
      <c r="H17" s="13">
        <v>12500</v>
      </c>
      <c r="I17" s="12" t="s">
        <v>74</v>
      </c>
      <c r="J17" s="13">
        <v>32500</v>
      </c>
      <c r="K17" s="14">
        <v>46281</v>
      </c>
      <c r="L17" s="14">
        <v>46295</v>
      </c>
      <c r="M17" s="12" t="s">
        <v>64</v>
      </c>
      <c r="N17" s="8" t="s">
        <v>65</v>
      </c>
      <c r="O17" s="8" t="s">
        <v>66</v>
      </c>
    </row>
    <row r="18" spans="1:15" x14ac:dyDescent="0.3">
      <c r="A18" s="12" t="s">
        <v>162</v>
      </c>
      <c r="B18" s="12" t="s">
        <v>163</v>
      </c>
      <c r="C18" s="8" t="s">
        <v>164</v>
      </c>
      <c r="D18" s="8" t="s">
        <v>165</v>
      </c>
      <c r="E18" s="12" t="s">
        <v>166</v>
      </c>
      <c r="F18" s="12" t="s">
        <v>99</v>
      </c>
      <c r="G18" s="8" t="s">
        <v>100</v>
      </c>
      <c r="H18" s="13">
        <v>15000</v>
      </c>
      <c r="I18" s="12" t="s">
        <v>83</v>
      </c>
      <c r="J18" s="13">
        <v>8000</v>
      </c>
      <c r="K18" s="14">
        <v>46282</v>
      </c>
      <c r="L18" s="14">
        <v>46297</v>
      </c>
      <c r="M18" s="12" t="s">
        <v>64</v>
      </c>
      <c r="N18" s="8" t="s">
        <v>75</v>
      </c>
      <c r="O18" s="8" t="s">
        <v>66</v>
      </c>
    </row>
    <row r="19" spans="1:15" x14ac:dyDescent="0.3">
      <c r="A19" s="12" t="s">
        <v>167</v>
      </c>
      <c r="B19" s="12" t="s">
        <v>168</v>
      </c>
      <c r="C19" s="8" t="s">
        <v>169</v>
      </c>
      <c r="D19" s="8" t="s">
        <v>170</v>
      </c>
      <c r="E19" s="12" t="s">
        <v>171</v>
      </c>
      <c r="F19" s="12" t="s">
        <v>108</v>
      </c>
      <c r="G19" s="8" t="s">
        <v>109</v>
      </c>
      <c r="H19" s="13">
        <v>17500</v>
      </c>
      <c r="I19" s="12" t="s">
        <v>92</v>
      </c>
      <c r="J19" s="13">
        <v>11500</v>
      </c>
      <c r="K19" s="14">
        <v>46283</v>
      </c>
      <c r="L19" s="14">
        <v>46299</v>
      </c>
      <c r="M19" s="12" t="s">
        <v>64</v>
      </c>
      <c r="N19" s="8" t="s">
        <v>84</v>
      </c>
      <c r="O19" s="8" t="s">
        <v>66</v>
      </c>
    </row>
    <row r="20" spans="1:15" x14ac:dyDescent="0.3">
      <c r="A20" s="12" t="s">
        <v>172</v>
      </c>
      <c r="B20" s="12" t="s">
        <v>173</v>
      </c>
      <c r="C20" s="8" t="s">
        <v>174</v>
      </c>
      <c r="D20" s="8" t="s">
        <v>175</v>
      </c>
      <c r="E20" s="12" t="s">
        <v>176</v>
      </c>
      <c r="F20" s="12" t="s">
        <v>61</v>
      </c>
      <c r="G20" s="8" t="s">
        <v>62</v>
      </c>
      <c r="H20" s="13">
        <v>29000</v>
      </c>
      <c r="I20" s="12" t="s">
        <v>101</v>
      </c>
      <c r="J20" s="13">
        <v>15000</v>
      </c>
      <c r="K20" s="14">
        <v>46284</v>
      </c>
      <c r="L20" s="14">
        <v>46301</v>
      </c>
      <c r="M20" s="12" t="s">
        <v>64</v>
      </c>
      <c r="N20" s="8" t="s">
        <v>93</v>
      </c>
      <c r="O20" s="8" t="s">
        <v>66</v>
      </c>
    </row>
    <row r="21" spans="1:15" x14ac:dyDescent="0.3">
      <c r="A21" s="12" t="s">
        <v>177</v>
      </c>
      <c r="B21" s="12" t="s">
        <v>178</v>
      </c>
      <c r="C21" s="8" t="s">
        <v>179</v>
      </c>
      <c r="D21" s="8" t="s">
        <v>180</v>
      </c>
      <c r="E21" s="12" t="s">
        <v>181</v>
      </c>
      <c r="F21" s="12" t="s">
        <v>72</v>
      </c>
      <c r="G21" s="8" t="s">
        <v>73</v>
      </c>
      <c r="H21" s="13">
        <v>32500</v>
      </c>
      <c r="I21" s="12" t="s">
        <v>110</v>
      </c>
      <c r="J21" s="13">
        <v>18500</v>
      </c>
      <c r="K21" s="14">
        <v>46285</v>
      </c>
      <c r="L21" s="14">
        <v>46303</v>
      </c>
      <c r="M21" s="12" t="s">
        <v>64</v>
      </c>
      <c r="N21" s="8" t="s">
        <v>102</v>
      </c>
      <c r="O21" s="8" t="s">
        <v>66</v>
      </c>
    </row>
  </sheetData>
  <conditionalFormatting sqref="I2:I21">
    <cfRule type="expression" dxfId="1" priority="2">
      <formula>$I2="Won"</formula>
    </cfRule>
  </conditionalFormatting>
  <conditionalFormatting sqref="L2:L21">
    <cfRule type="expression" dxfId="0" priority="1">
      <formula>AND($L2&lt;TODAY(),$I2&lt;&gt;"Won",$I2&lt;&gt;"Lost",$L2&lt;&gt;"")</formula>
    </cfRule>
  </conditionalFormatting>
  <dataValidations count="1">
    <dataValidation type="list" sqref="I2:I21" xr:uid="{00000000-0002-0000-0200-000000000000}">
      <formula1>"New,Contacted,Qualified,Meeting Scheduled,Proposal,Won,Lost"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"/>
  <sheetViews>
    <sheetView showGridLines="0" tabSelected="1" zoomScale="68" workbookViewId="0">
      <pane ySplit="1" topLeftCell="A2" activePane="bottomLeft" state="frozen"/>
      <selection pane="bottomLeft" sqref="A1:C1"/>
    </sheetView>
  </sheetViews>
  <sheetFormatPr defaultRowHeight="14.4" x14ac:dyDescent="0.3"/>
  <cols>
    <col min="1" max="1" width="24" customWidth="1"/>
    <col min="2" max="2" width="16" customWidth="1"/>
    <col min="3" max="3" width="20" customWidth="1"/>
  </cols>
  <sheetData>
    <row r="1" spans="1:3" ht="30" customHeight="1" x14ac:dyDescent="0.3">
      <c r="A1" s="16" t="s">
        <v>182</v>
      </c>
      <c r="B1" s="17"/>
      <c r="C1" s="17"/>
    </row>
    <row r="3" spans="1:3" x14ac:dyDescent="0.3">
      <c r="A3" s="1" t="s">
        <v>49</v>
      </c>
      <c r="B3" s="1" t="s">
        <v>183</v>
      </c>
      <c r="C3" s="1" t="s">
        <v>184</v>
      </c>
    </row>
    <row r="4" spans="1:3" x14ac:dyDescent="0.3">
      <c r="A4" t="s">
        <v>63</v>
      </c>
      <c r="B4">
        <f>COUNTIF('Lead Tracker'!$I$2:$I$21,A4)</f>
        <v>3</v>
      </c>
      <c r="C4" s="15">
        <f>IFERROR(B4/COUNTA('Lead Tracker'!$A$2:$A$21),0)</f>
        <v>0.15</v>
      </c>
    </row>
    <row r="5" spans="1:3" x14ac:dyDescent="0.3">
      <c r="A5" t="s">
        <v>74</v>
      </c>
      <c r="B5">
        <f>COUNTIF('Lead Tracker'!$I$2:$I$21,A5)</f>
        <v>3</v>
      </c>
      <c r="C5" s="15">
        <f>IFERROR(B5/COUNTA('Lead Tracker'!$A$2:$A$21),0)</f>
        <v>0.15</v>
      </c>
    </row>
    <row r="6" spans="1:3" x14ac:dyDescent="0.3">
      <c r="A6" t="s">
        <v>83</v>
      </c>
      <c r="B6">
        <f>COUNTIF('Lead Tracker'!$I$2:$I$21,A6)</f>
        <v>3</v>
      </c>
      <c r="C6" s="15">
        <f>IFERROR(B6/COUNTA('Lead Tracker'!$A$2:$A$21),0)</f>
        <v>0.15</v>
      </c>
    </row>
    <row r="7" spans="1:3" x14ac:dyDescent="0.3">
      <c r="A7" t="s">
        <v>92</v>
      </c>
      <c r="B7">
        <f>COUNTIF('Lead Tracker'!$I$2:$I$21,A7)</f>
        <v>3</v>
      </c>
      <c r="C7" s="15">
        <f>IFERROR(B7/COUNTA('Lead Tracker'!$A$2:$A$21),0)</f>
        <v>0.15</v>
      </c>
    </row>
    <row r="8" spans="1:3" x14ac:dyDescent="0.3">
      <c r="A8" t="s">
        <v>101</v>
      </c>
      <c r="B8">
        <f>COUNTIF('Lead Tracker'!$I$2:$I$21,A8)</f>
        <v>3</v>
      </c>
      <c r="C8" s="15">
        <f>IFERROR(B8/COUNTA('Lead Tracker'!$A$2:$A$21),0)</f>
        <v>0.15</v>
      </c>
    </row>
    <row r="9" spans="1:3" x14ac:dyDescent="0.3">
      <c r="A9" t="s">
        <v>110</v>
      </c>
      <c r="B9">
        <f>COUNTIF('Lead Tracker'!$I$2:$I$21,A9)</f>
        <v>3</v>
      </c>
      <c r="C9" s="15">
        <f>IFERROR(B9/COUNTA('Lead Tracker'!$A$2:$A$21),0)</f>
        <v>0.15</v>
      </c>
    </row>
    <row r="10" spans="1:3" x14ac:dyDescent="0.3">
      <c r="A10" t="s">
        <v>116</v>
      </c>
      <c r="B10">
        <f>COUNTIF('Lead Tracker'!$I$2:$I$21,A10)</f>
        <v>2</v>
      </c>
      <c r="C10" s="15">
        <f>IFERROR(B10/COUNTA('Lead Tracker'!$A$2:$A$21),0)</f>
        <v>0.1</v>
      </c>
    </row>
  </sheetData>
  <mergeCells count="1">
    <mergeCell ref="A1:C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Read Me</vt:lpstr>
      <vt:lpstr>Lead Tracker</vt:lpstr>
      <vt:lpstr>Status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Rezina Khan</cp:lastModifiedBy>
  <dcterms:created xsi:type="dcterms:W3CDTF">2026-10-09T06:00:29Z</dcterms:created>
  <dcterms:modified xsi:type="dcterms:W3CDTF">2026-10-09T09:08:57Z</dcterms:modified>
</cp:coreProperties>
</file>